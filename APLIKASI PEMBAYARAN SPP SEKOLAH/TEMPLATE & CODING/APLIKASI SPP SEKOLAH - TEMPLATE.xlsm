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730" windowHeight="11760"/>
  </bookViews>
  <sheets>
    <sheet name="DASHBOARD" sheetId="1" r:id="rId1"/>
    <sheet name="DATABAYAR" sheetId="2" r:id="rId2"/>
    <sheet name="PEMBAYARAN" sheetId="3" r:id="rId3"/>
    <sheet name="KWITANSI" sheetId="4" r:id="rId4"/>
  </sheets>
  <definedNames>
    <definedName name="_xlnm._FilterDatabase" localSheetId="0" hidden="1">DASHBOARD!$B$6:$J$12</definedName>
    <definedName name="_xlnm._FilterDatabase" localSheetId="1" hidden="1">DATABAYAR!$A$4:$Q$280</definedName>
    <definedName name="_xlnm._FilterDatabase" localSheetId="2" hidden="1">PEMBAYARAN!$A$4:$F$15</definedName>
    <definedName name="_xlnm.Criteria" localSheetId="1">DATABAYAR!$S$4:$S$5</definedName>
    <definedName name="_xlnm.Criteria" localSheetId="2">PEMBAYARAN!$H$4:$I$5</definedName>
    <definedName name="_xlnm.Extract" localSheetId="1">DATABAYAR!$U$4:$AK$4</definedName>
    <definedName name="_xlnm.Extract" localSheetId="2">PEMBAYARAN!$K$4:$P$4</definedName>
    <definedName name="HASILCARIBAYAR">OFFSET(DATABAYAR!$U$5,0,0,COUNTA(DATABAYAR!$U$5:$U$60000),17)</definedName>
    <definedName name="HASILTRANSKRIP">OFFSET(PEMBAYARAN!$K$5,0,0,COUNTA(PEMBAYARAN!$K$5:$K$70000),6)</definedName>
    <definedName name="_xlnm.Print_Area" localSheetId="3">KWITANSI!$B$2:$N$22</definedName>
    <definedName name="TABELPEMBAYARAN">OFFSET(DATABAYAR!$A$5,0,0,COUNTA(DATABAYAR!$A$5:$A$600000),17)</definedName>
    <definedName name="TABLESISWA">OFFSET(DASHBOARD!$B$7,0,0,COUNTA(DASHBOARD!$B$7:$B$9998),9)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4" i="2" l="1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8" i="2"/>
  <c r="Q7" i="2"/>
  <c r="Q6" i="2"/>
  <c r="Q5" i="2"/>
  <c r="R4" i="4" l="1"/>
  <c r="R5" i="4"/>
  <c r="R6" i="4"/>
  <c r="R7" i="4"/>
  <c r="R8" i="4"/>
  <c r="R9" i="4"/>
  <c r="R10" i="4"/>
  <c r="R11" i="4"/>
  <c r="R12" i="4"/>
  <c r="R13" i="4"/>
  <c r="R14" i="4"/>
  <c r="R3" i="4"/>
  <c r="C15" i="4" l="1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6" i="2"/>
  <c r="P7" i="2"/>
  <c r="P8" i="2"/>
  <c r="P9" i="2"/>
  <c r="Q9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5" i="2"/>
  <c r="N15" i="1" l="1"/>
  <c r="N16" i="1"/>
  <c r="N17" i="1"/>
  <c r="M16" i="1"/>
  <c r="M17" i="1"/>
  <c r="M15" i="1"/>
  <c r="O15" i="1" l="1"/>
  <c r="O16" i="1"/>
  <c r="N18" i="1"/>
  <c r="O17" i="1"/>
  <c r="M18" i="1"/>
  <c r="O18" i="1" l="1"/>
  <c r="Q25" i="2" l="1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N11" i="1" l="1"/>
  <c r="N9" i="1"/>
  <c r="O11" i="1"/>
  <c r="O10" i="1"/>
  <c r="N10" i="1"/>
  <c r="K18" i="4"/>
  <c r="H7" i="4"/>
  <c r="O9" i="1" l="1"/>
</calcChain>
</file>

<file path=xl/sharedStrings.xml><?xml version="1.0" encoding="utf-8"?>
<sst xmlns="http://schemas.openxmlformats.org/spreadsheetml/2006/main" count="1002" uniqueCount="178">
  <si>
    <t>Nis Siswa</t>
  </si>
  <si>
    <t>Nama Siswa</t>
  </si>
  <si>
    <t>Jenis Kelamin</t>
  </si>
  <si>
    <t>Kelas</t>
  </si>
  <si>
    <t>Alamat</t>
  </si>
  <si>
    <t>Tempat Lahir</t>
  </si>
  <si>
    <t>Tanggal Lahir</t>
  </si>
  <si>
    <t>No Telpon</t>
  </si>
  <si>
    <t>NAMA SISWA</t>
  </si>
  <si>
    <t>KELAS</t>
  </si>
  <si>
    <t>Juli</t>
  </si>
  <si>
    <t>Agustus</t>
  </si>
  <si>
    <t>September</t>
  </si>
  <si>
    <t>Oktober</t>
  </si>
  <si>
    <t>November</t>
  </si>
  <si>
    <t>Desember</t>
  </si>
  <si>
    <t>Januari</t>
  </si>
  <si>
    <t>Februari</t>
  </si>
  <si>
    <t>Maret</t>
  </si>
  <si>
    <t>April</t>
  </si>
  <si>
    <t>Mei</t>
  </si>
  <si>
    <t>Juni</t>
  </si>
  <si>
    <t>ID PEMBAYARAN</t>
  </si>
  <si>
    <t>NAMA</t>
  </si>
  <si>
    <t>JUMLAH BAYAR</t>
  </si>
  <si>
    <t>TGL BAYAR</t>
  </si>
  <si>
    <t>PMB-1001</t>
  </si>
  <si>
    <t>Erwin Suhariyanto</t>
  </si>
  <si>
    <t>PMB-1002</t>
  </si>
  <si>
    <t>Alan kiro</t>
  </si>
  <si>
    <t>PMB-1003</t>
  </si>
  <si>
    <t>ID BAYAR</t>
  </si>
  <si>
    <t>PMB-1004</t>
  </si>
  <si>
    <t>PMB-1005</t>
  </si>
  <si>
    <t>PMB-1006</t>
  </si>
  <si>
    <t>SMP NEGERI 3 TANGGUL - JEMBER</t>
  </si>
  <si>
    <t>JL. SEMBORO NO. 75 TANGGUL JEMBER</t>
  </si>
  <si>
    <t>TELP : 031 - 32012457</t>
  </si>
  <si>
    <t>ID Bayar</t>
  </si>
  <si>
    <t>Tanggal Bayar</t>
  </si>
  <si>
    <t>Nomor Cetak</t>
  </si>
  <si>
    <t>Total Sudah Bayar</t>
  </si>
  <si>
    <t>Sisa Bayar</t>
  </si>
  <si>
    <t>Nis</t>
  </si>
  <si>
    <t>Jumlah Bayar</t>
  </si>
  <si>
    <t>ADMINISTRASI</t>
  </si>
  <si>
    <t>Laki - Laki</t>
  </si>
  <si>
    <t>Jl. Kepodang</t>
  </si>
  <si>
    <t>Sukiman</t>
  </si>
  <si>
    <t>Jl. Pelatuk</t>
  </si>
  <si>
    <t>Surabaya</t>
  </si>
  <si>
    <t>Jl. Kencana</t>
  </si>
  <si>
    <t>Samingan</t>
  </si>
  <si>
    <t>Joko Boyo</t>
  </si>
  <si>
    <t>Nama Orang Tua</t>
  </si>
  <si>
    <t>Antony Jaya</t>
  </si>
  <si>
    <t>Jl. Parangan</t>
  </si>
  <si>
    <t>Tarmiji Siji</t>
  </si>
  <si>
    <t>NISN</t>
  </si>
  <si>
    <t>Total Bayar</t>
  </si>
  <si>
    <t>KELAS 10</t>
  </si>
  <si>
    <t>KELAS 11</t>
  </si>
  <si>
    <t>KELAS 12</t>
  </si>
  <si>
    <t>Kelas 10</t>
  </si>
  <si>
    <t>Kelas 11</t>
  </si>
  <si>
    <t>Kelas 12</t>
  </si>
  <si>
    <t>SPP</t>
  </si>
  <si>
    <t>DASHBOARD &amp; DATA PENDUKUNG</t>
  </si>
  <si>
    <t>TABEL DATA PEMBAYARAN SPP</t>
  </si>
  <si>
    <t>Kristian Prayoga</t>
  </si>
  <si>
    <t>Leony Laksania Thaka</t>
  </si>
  <si>
    <t>Loren Cia Enjelloka</t>
  </si>
  <si>
    <t>Melinda</t>
  </si>
  <si>
    <t>Melsa Jumilawati</t>
  </si>
  <si>
    <t>Muhammad Rahman</t>
  </si>
  <si>
    <t>Ninda</t>
  </si>
  <si>
    <t>Puja</t>
  </si>
  <si>
    <t>Putri Suryani</t>
  </si>
  <si>
    <t>Putri Yuliengga</t>
  </si>
  <si>
    <t>Sami</t>
  </si>
  <si>
    <t>Sindi Sutriani</t>
  </si>
  <si>
    <t>N-102124576</t>
  </si>
  <si>
    <t>N-102124577</t>
  </si>
  <si>
    <t>N-102124578</t>
  </si>
  <si>
    <t>N-102124579</t>
  </si>
  <si>
    <t>N-102124581</t>
  </si>
  <si>
    <t>N-102124582</t>
  </si>
  <si>
    <t>N-102124583</t>
  </si>
  <si>
    <t>N-102124584</t>
  </si>
  <si>
    <t>N-102124585</t>
  </si>
  <si>
    <t>N-102124586</t>
  </si>
  <si>
    <t>N-102124587</t>
  </si>
  <si>
    <t>N-102124588</t>
  </si>
  <si>
    <t>N-102124589</t>
  </si>
  <si>
    <t>N-102124590</t>
  </si>
  <si>
    <t>N-102124591</t>
  </si>
  <si>
    <t>N-102124592</t>
  </si>
  <si>
    <t>Perempuan</t>
  </si>
  <si>
    <t>Jl. Mayangan</t>
  </si>
  <si>
    <t>Jl. Merbabu</t>
  </si>
  <si>
    <t>Jember</t>
  </si>
  <si>
    <t>Kencong</t>
  </si>
  <si>
    <t>Bondowoso</t>
  </si>
  <si>
    <t>Jombang</t>
  </si>
  <si>
    <t>Kapuas</t>
  </si>
  <si>
    <t>Banjarbaru</t>
  </si>
  <si>
    <t>Samarinda</t>
  </si>
  <si>
    <t>Pekanbaru</t>
  </si>
  <si>
    <t>Riau</t>
  </si>
  <si>
    <t>Manado</t>
  </si>
  <si>
    <t>Katingan</t>
  </si>
  <si>
    <t>Jumangin</t>
  </si>
  <si>
    <t>Indah</t>
  </si>
  <si>
    <t>Sumarto</t>
  </si>
  <si>
    <t>Wardiman</t>
  </si>
  <si>
    <t>Bonirah</t>
  </si>
  <si>
    <t>Katimen</t>
  </si>
  <si>
    <t>Migunah</t>
  </si>
  <si>
    <t>Sumijah</t>
  </si>
  <si>
    <t>Marpuah</t>
  </si>
  <si>
    <t>Widodo</t>
  </si>
  <si>
    <t>Sajiman</t>
  </si>
  <si>
    <t>Ponirah</t>
  </si>
  <si>
    <t>0812-5421-2154</t>
  </si>
  <si>
    <t>0812-5421-2164</t>
  </si>
  <si>
    <t>0812-5421-2156</t>
  </si>
  <si>
    <t>0812-5421-2157</t>
  </si>
  <si>
    <t>0812-5421-2159</t>
  </si>
  <si>
    <t>0812-5421-2160</t>
  </si>
  <si>
    <t>0812-5421-2161</t>
  </si>
  <si>
    <t>0812-5421-2162</t>
  </si>
  <si>
    <t>0812-5421-2163</t>
  </si>
  <si>
    <t>0812-5421-2165</t>
  </si>
  <si>
    <t>0812-5421-2166</t>
  </si>
  <si>
    <t>0812-5421-2167</t>
  </si>
  <si>
    <t>0812-5421-2168</t>
  </si>
  <si>
    <t>0812-5421-2169</t>
  </si>
  <si>
    <t>0812-5421-2170</t>
  </si>
  <si>
    <t>Terbayar</t>
  </si>
  <si>
    <t>Terhutang</t>
  </si>
  <si>
    <t>Tabel SPP dan Rekap Pembayaran</t>
  </si>
  <si>
    <t>Tabel Jumlah Siswa Per Kelas</t>
  </si>
  <si>
    <t>Jumlah</t>
  </si>
  <si>
    <t>TOTAL</t>
  </si>
  <si>
    <t/>
  </si>
  <si>
    <t>N-102124598</t>
  </si>
  <si>
    <t>Puji Katiman</t>
  </si>
  <si>
    <t>Kecong</t>
  </si>
  <si>
    <t>15/2/2000</t>
  </si>
  <si>
    <t>Wargiman</t>
  </si>
  <si>
    <t>0812-6587-9658</t>
  </si>
  <si>
    <t>N-102547847</t>
  </si>
  <si>
    <t>Suciwati</t>
  </si>
  <si>
    <t>Jl. Pangeran</t>
  </si>
  <si>
    <t>Sujiman</t>
  </si>
  <si>
    <t>0815-9578-9578</t>
  </si>
  <si>
    <t>PMB-1007</t>
  </si>
  <si>
    <t>Pembayaran SPP Bulan :</t>
  </si>
  <si>
    <t>Bulan</t>
  </si>
  <si>
    <t>Bayar</t>
  </si>
  <si>
    <t>Keterangan</t>
  </si>
  <si>
    <t>N-102453578</t>
  </si>
  <si>
    <t>Abiyoso Suryonoto</t>
  </si>
  <si>
    <t>Jl. Gatot</t>
  </si>
  <si>
    <t>Palangka Raya</t>
  </si>
  <si>
    <t>22/3/2000</t>
  </si>
  <si>
    <t>0814-6524-8647</t>
  </si>
  <si>
    <t>N-1021245801</t>
  </si>
  <si>
    <t>PMB-1008</t>
  </si>
  <si>
    <t>PMB-1009</t>
  </si>
  <si>
    <t>PMB-10010</t>
  </si>
  <si>
    <t>N-102354879</t>
  </si>
  <si>
    <t>EXCEL VBA</t>
  </si>
  <si>
    <t>GUNUNG JATI</t>
  </si>
  <si>
    <t>KENDARI</t>
  </si>
  <si>
    <t>NEAR</t>
  </si>
  <si>
    <t>0823-4742-3626</t>
  </si>
  <si>
    <t>PMB-10011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</si>
</sst>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Rp&quot;* #,##0_);_(&quot;Rp&quot;* \(#,##0\);_(&quot;Rp&quot;* &quot;-&quot;_);_(@_)"/>
    <numFmt numFmtId="165" formatCode="[$-F800]dddd\,\ mmmm\ dd\,\ yyyy"/>
    <numFmt numFmtId="166" formatCode="_-[$Rp-421]* #,##0_-;\-[$Rp-421]* #,##0_-;_-[$Rp-421]* &quot;-&quot;??_-;_-@_-"/>
  </numFmts>
  <fonts count="1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Roboto Condensed"/>
    </font>
    <font>
      <b/>
      <sz val="16"/>
      <color rgb="FFFF9933"/>
      <name val="Roboto Condensed"/>
    </font>
    <font>
      <b/>
      <sz val="14"/>
      <color theme="1"/>
      <name val="Roboto Condensed"/>
    </font>
    <font>
      <b/>
      <sz val="11"/>
      <color theme="1"/>
      <name val="Roboto Condensed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Roboto Condensed"/>
    </font>
    <font>
      <b/>
      <sz val="10"/>
      <color rgb="FFFF9933"/>
      <name val="Roboto Condensed"/>
    </font>
    <font>
      <b/>
      <sz val="10"/>
      <color theme="0" tint="-4.9989318521683403E-2"/>
      <name val="Roboto Condensed"/>
    </font>
    <font>
      <b/>
      <sz val="10"/>
      <color rgb="FF322351"/>
      <name val="Roboto Condensed"/>
    </font>
    <font>
      <sz val="11"/>
      <color theme="0"/>
      <name val="Roboto Condensed"/>
    </font>
    <font>
      <sz val="10"/>
      <color theme="0"/>
      <name val="Roboto Condensed"/>
    </font>
    <font>
      <b/>
      <sz val="12"/>
      <color rgb="FF110822"/>
      <name val="Roboto Condensed"/>
    </font>
    <font>
      <b/>
      <sz val="10"/>
      <color theme="1"/>
      <name val="Roboto Condensed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108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2235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11082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8">
    <xf numFmtId="0" fontId="0" fillId="0" borderId="0" xfId="0"/>
    <xf numFmtId="0" fontId="2" fillId="3" borderId="0" xfId="0" applyFont="1" applyFill="1"/>
    <xf numFmtId="164" fontId="2" fillId="3" borderId="0" xfId="1" applyFont="1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5" fillId="0" borderId="6" xfId="0" applyFont="1" applyBorder="1" applyAlignment="1"/>
    <xf numFmtId="0" fontId="6" fillId="0" borderId="6" xfId="0" applyFont="1" applyBorder="1" applyAlignment="1"/>
    <xf numFmtId="0" fontId="0" fillId="0" borderId="0" xfId="0" applyBorder="1"/>
    <xf numFmtId="0" fontId="0" fillId="0" borderId="6" xfId="0" applyBorder="1"/>
    <xf numFmtId="0" fontId="7" fillId="0" borderId="0" xfId="0" applyFont="1" applyBorder="1" applyAlignment="1">
      <alignment horizontal="right"/>
    </xf>
    <xf numFmtId="0" fontId="8" fillId="0" borderId="0" xfId="0" applyFont="1" applyBorder="1"/>
    <xf numFmtId="0" fontId="7" fillId="0" borderId="0" xfId="0" applyFont="1" applyBorder="1"/>
    <xf numFmtId="0" fontId="8" fillId="0" borderId="0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9" fillId="0" borderId="0" xfId="0" applyFont="1"/>
    <xf numFmtId="0" fontId="10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166" fontId="9" fillId="0" borderId="0" xfId="0" applyNumberFormat="1" applyFont="1"/>
    <xf numFmtId="0" fontId="11" fillId="5" borderId="0" xfId="0" applyFont="1" applyFill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166" fontId="9" fillId="0" borderId="19" xfId="0" applyNumberFormat="1" applyFont="1" applyBorder="1"/>
    <xf numFmtId="164" fontId="9" fillId="0" borderId="0" xfId="1" applyFont="1"/>
    <xf numFmtId="0" fontId="13" fillId="3" borderId="0" xfId="0" applyFont="1" applyFill="1"/>
    <xf numFmtId="164" fontId="13" fillId="3" borderId="0" xfId="1" applyFont="1" applyFill="1"/>
    <xf numFmtId="0" fontId="14" fillId="3" borderId="0" xfId="0" applyFont="1" applyFill="1"/>
    <xf numFmtId="164" fontId="14" fillId="3" borderId="0" xfId="1" applyFont="1" applyFill="1"/>
    <xf numFmtId="0" fontId="15" fillId="0" borderId="20" xfId="0" applyFont="1" applyBorder="1"/>
    <xf numFmtId="0" fontId="0" fillId="0" borderId="20" xfId="0" applyBorder="1"/>
    <xf numFmtId="14" fontId="10" fillId="2" borderId="0" xfId="0" applyNumberFormat="1" applyFont="1" applyFill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49" fontId="3" fillId="0" borderId="0" xfId="0" applyNumberFormat="1" applyFont="1"/>
    <xf numFmtId="49" fontId="10" fillId="2" borderId="0" xfId="0" applyNumberFormat="1" applyFont="1" applyFill="1" applyAlignment="1">
      <alignment vertical="center"/>
    </xf>
    <xf numFmtId="49" fontId="9" fillId="0" borderId="0" xfId="0" applyNumberFormat="1" applyFont="1"/>
    <xf numFmtId="0" fontId="17" fillId="0" borderId="0" xfId="0" applyFont="1" applyAlignment="1">
      <alignment horizontal="left" vertical="center"/>
    </xf>
    <xf numFmtId="0" fontId="10" fillId="2" borderId="19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/>
    <xf numFmtId="0" fontId="18" fillId="2" borderId="0" xfId="0" applyFont="1" applyFill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9" fillId="0" borderId="0" xfId="0" applyFont="1" applyBorder="1"/>
    <xf numFmtId="0" fontId="7" fillId="0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16" fillId="4" borderId="10" xfId="0" applyFont="1" applyFill="1" applyBorder="1"/>
    <xf numFmtId="0" fontId="7" fillId="0" borderId="0" xfId="0" applyFont="1" applyBorder="1" applyAlignment="1">
      <alignment horizontal="right"/>
    </xf>
    <xf numFmtId="164" fontId="16" fillId="4" borderId="10" xfId="1" applyFont="1" applyFill="1" applyBorder="1" applyAlignment="1">
      <alignment horizontal="left" vertical="center"/>
    </xf>
    <xf numFmtId="0" fontId="16" fillId="4" borderId="11" xfId="0" applyFont="1" applyFill="1" applyBorder="1"/>
    <xf numFmtId="164" fontId="16" fillId="4" borderId="12" xfId="1" applyFont="1" applyFill="1" applyBorder="1" applyAlignment="1">
      <alignment horizontal="left" vertical="center"/>
    </xf>
    <xf numFmtId="164" fontId="16" fillId="4" borderId="12" xfId="1" applyFont="1" applyFill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7" fillId="0" borderId="13" xfId="0" applyFont="1" applyBorder="1" applyAlignment="1">
      <alignment horizontal="left" vertical="center" indent="1"/>
    </xf>
    <xf numFmtId="0" fontId="7" fillId="0" borderId="14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16" xfId="0" applyFont="1" applyBorder="1" applyAlignment="1">
      <alignment horizontal="left" vertical="center" indent="1"/>
    </xf>
    <xf numFmtId="0" fontId="7" fillId="0" borderId="17" xfId="0" applyFont="1" applyBorder="1" applyAlignment="1">
      <alignment horizontal="left" vertical="center" indent="1"/>
    </xf>
    <xf numFmtId="0" fontId="7" fillId="0" borderId="18" xfId="0" applyFont="1" applyBorder="1" applyAlignment="1">
      <alignment horizontal="left" vertical="center" indent="1"/>
    </xf>
    <xf numFmtId="0" fontId="5" fillId="0" borderId="2" xfId="0" applyFont="1" applyBorder="1" applyAlignment="1"/>
    <xf numFmtId="0" fontId="5" fillId="0" borderId="3" xfId="0" applyFont="1" applyBorder="1" applyAlignment="1"/>
    <xf numFmtId="0" fontId="5" fillId="0" borderId="4" xfId="0" applyFont="1" applyBorder="1" applyAlignment="1"/>
    <xf numFmtId="0" fontId="6" fillId="0" borderId="5" xfId="0" applyFont="1" applyBorder="1" applyAlignment="1"/>
    <xf numFmtId="0" fontId="6" fillId="0" borderId="0" xfId="0" applyFont="1" applyBorder="1" applyAlignment="1"/>
    <xf numFmtId="0" fontId="6" fillId="0" borderId="6" xfId="0" applyFont="1" applyBorder="1" applyAlignment="1"/>
    <xf numFmtId="0" fontId="6" fillId="0" borderId="7" xfId="0" applyFont="1" applyBorder="1" applyAlignment="1"/>
    <xf numFmtId="0" fontId="6" fillId="0" borderId="8" xfId="0" applyFont="1" applyBorder="1" applyAlignment="1"/>
    <xf numFmtId="0" fontId="6" fillId="0" borderId="9" xfId="0" applyFont="1" applyBorder="1" applyAlignment="1"/>
    <xf numFmtId="0" fontId="16" fillId="4" borderId="0" xfId="0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left"/>
    </xf>
  </cellXfs>
  <cellStyles count="2">
    <cellStyle name="Currency [0]" xfId="1" builtinId="7"/>
    <cellStyle name="Normal" xfId="0" builtinId="0"/>
  </cellStyles>
  <dxfs count="1"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110822"/>
      <color rgb="FFFF9933"/>
      <color rgb="FF322351"/>
      <color rgb="FF00FFFF"/>
      <color rgb="FFFF0066"/>
      <color rgb="FF00FF99"/>
      <color rgb="FF00CC99"/>
      <color rgb="FF3B3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13.svg"/><Relationship Id="rId18" Type="http://schemas.openxmlformats.org/officeDocument/2006/relationships/image" Target="../media/image9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6.png"/><Relationship Id="rId17" Type="http://schemas.openxmlformats.org/officeDocument/2006/relationships/image" Target="../media/image17.sv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5.png"/><Relationship Id="rId19" Type="http://schemas.openxmlformats.org/officeDocument/2006/relationships/image" Target="../media/image19.svg"/><Relationship Id="rId4" Type="http://schemas.openxmlformats.org/officeDocument/2006/relationships/image" Target="../media/image2.png"/><Relationship Id="rId9" Type="http://schemas.openxmlformats.org/officeDocument/2006/relationships/image" Target="../media/image9.svg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9526</xdr:rowOff>
    </xdr:from>
    <xdr:to>
      <xdr:col>0</xdr:col>
      <xdr:colOff>2095500</xdr:colOff>
      <xdr:row>37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" y="9526"/>
          <a:ext cx="2095499" cy="7905749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14</xdr:col>
      <xdr:colOff>66676</xdr:colOff>
      <xdr:row>28</xdr:row>
      <xdr:rowOff>0</xdr:rowOff>
    </xdr:from>
    <xdr:ext cx="1970542" cy="362920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SpPr txBox="1"/>
      </xdr:nvSpPr>
      <xdr:spPr>
        <a:xfrm>
          <a:off x="8601076" y="5715000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LAKI -</a:t>
          </a:r>
          <a:r>
            <a:rPr lang="en-US" sz="1600" b="1" baseline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LAKI</a:t>
          </a:r>
          <a:endParaRPr lang="en-US" sz="1600" b="1">
            <a:solidFill>
              <a:schemeClr val="bg1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oneCellAnchor>
    <xdr:from>
      <xdr:col>19</xdr:col>
      <xdr:colOff>371476</xdr:colOff>
      <xdr:row>28</xdr:row>
      <xdr:rowOff>28575</xdr:rowOff>
    </xdr:from>
    <xdr:ext cx="1970542" cy="36292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SpPr txBox="1"/>
      </xdr:nvSpPr>
      <xdr:spPr>
        <a:xfrm>
          <a:off x="11953876" y="5743575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PEREMPUAN</a:t>
          </a:r>
        </a:p>
      </xdr:txBody>
    </xdr:sp>
    <xdr:clientData/>
  </xdr:oneCellAnchor>
  <xdr:twoCellAnchor>
    <xdr:from>
      <xdr:col>0</xdr:col>
      <xdr:colOff>61916</xdr:colOff>
      <xdr:row>14</xdr:row>
      <xdr:rowOff>205741</xdr:rowOff>
    </xdr:from>
    <xdr:to>
      <xdr:col>0</xdr:col>
      <xdr:colOff>1969916</xdr:colOff>
      <xdr:row>16</xdr:row>
      <xdr:rowOff>209116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GrpSpPr/>
      </xdr:nvGrpSpPr>
      <xdr:grpSpPr>
        <a:xfrm>
          <a:off x="61916" y="3010573"/>
          <a:ext cx="1908000" cy="384375"/>
          <a:chOff x="47624" y="2134834"/>
          <a:chExt cx="1660659" cy="420865"/>
        </a:xfrm>
      </xdr:grpSpPr>
      <xdr:sp macro="[0]!MenuC" textlink="">
        <xdr:nvSpPr>
          <xdr:cNvPr id="29" name="MENU3"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SpPr/>
        </xdr:nvSpPr>
        <xdr:spPr>
          <a:xfrm>
            <a:off x="47624" y="2134834"/>
            <a:ext cx="1660659" cy="420865"/>
          </a:xfrm>
          <a:prstGeom prst="rect">
            <a:avLst/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MenuC">
        <xdr:nvPicPr>
          <xdr:cNvPr id="22" name="Graphic 21" descr="Document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tretch>
            <a:fillRect/>
          </a:stretch>
        </xdr:blipFill>
        <xdr:spPr>
          <a:xfrm>
            <a:off x="137411" y="216526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589472</xdr:colOff>
      <xdr:row>15</xdr:row>
      <xdr:rowOff>89101</xdr:rowOff>
    </xdr:from>
    <xdr:to>
      <xdr:col>0</xdr:col>
      <xdr:colOff>1768578</xdr:colOff>
      <xdr:row>16</xdr:row>
      <xdr:rowOff>151760</xdr:rowOff>
    </xdr:to>
    <xdr:sp macro="[0]!MenuC" textlink="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 txBox="1"/>
      </xdr:nvSpPr>
      <xdr:spPr>
        <a:xfrm>
          <a:off x="589472" y="3327601"/>
          <a:ext cx="1179106" cy="2722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Form </a:t>
          </a:r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Rekapitulasi</a:t>
          </a:r>
        </a:p>
      </xdr:txBody>
    </xdr:sp>
    <xdr:clientData/>
  </xdr:twoCellAnchor>
  <xdr:twoCellAnchor>
    <xdr:from>
      <xdr:col>0</xdr:col>
      <xdr:colOff>90487</xdr:colOff>
      <xdr:row>7</xdr:row>
      <xdr:rowOff>203360</xdr:rowOff>
    </xdr:from>
    <xdr:to>
      <xdr:col>0</xdr:col>
      <xdr:colOff>1998487</xdr:colOff>
      <xdr:row>9</xdr:row>
      <xdr:rowOff>206735</xdr:rowOff>
    </xdr:to>
    <xdr:sp macro="[0]!MenuA" textlink="">
      <xdr:nvSpPr>
        <xdr:cNvPr id="5" name="MENU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0487" y="1765460"/>
          <a:ext cx="1908000" cy="422475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581745</xdr:colOff>
      <xdr:row>8</xdr:row>
      <xdr:rowOff>78804</xdr:rowOff>
    </xdr:from>
    <xdr:to>
      <xdr:col>0</xdr:col>
      <xdr:colOff>1859487</xdr:colOff>
      <xdr:row>9</xdr:row>
      <xdr:rowOff>121742</xdr:rowOff>
    </xdr:to>
    <xdr:sp macro="[0]!MenuA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/>
      </xdr:nvSpPr>
      <xdr:spPr>
        <a:xfrm>
          <a:off x="581745" y="1850454"/>
          <a:ext cx="1277742" cy="2524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Form </a:t>
          </a:r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Siswa</a:t>
          </a:r>
        </a:p>
      </xdr:txBody>
    </xdr:sp>
    <xdr:clientData/>
  </xdr:twoCellAnchor>
  <xdr:twoCellAnchor>
    <xdr:from>
      <xdr:col>0</xdr:col>
      <xdr:colOff>184189</xdr:colOff>
      <xdr:row>8</xdr:row>
      <xdr:rowOff>18600</xdr:rowOff>
    </xdr:from>
    <xdr:to>
      <xdr:col>0</xdr:col>
      <xdr:colOff>543028</xdr:colOff>
      <xdr:row>9</xdr:row>
      <xdr:rowOff>181946</xdr:rowOff>
    </xdr:to>
    <xdr:pic macro="[0]!MenuA">
      <xdr:nvPicPr>
        <xdr:cNvPr id="42" name="Graphic 41" descr="Office worker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184189" y="1790250"/>
          <a:ext cx="358839" cy="372896"/>
        </a:xfrm>
        <a:prstGeom prst="rect">
          <a:avLst/>
        </a:prstGeom>
      </xdr:spPr>
    </xdr:pic>
    <xdr:clientData/>
  </xdr:twoCellAnchor>
  <xdr:twoCellAnchor>
    <xdr:from>
      <xdr:col>0</xdr:col>
      <xdr:colOff>90487</xdr:colOff>
      <xdr:row>11</xdr:row>
      <xdr:rowOff>103347</xdr:rowOff>
    </xdr:from>
    <xdr:to>
      <xdr:col>0</xdr:col>
      <xdr:colOff>1998487</xdr:colOff>
      <xdr:row>13</xdr:row>
      <xdr:rowOff>94816</xdr:rowOff>
    </xdr:to>
    <xdr:sp macro="[0]!MenuB" textlink="">
      <xdr:nvSpPr>
        <xdr:cNvPr id="10" name="MENU2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90487" y="2503647"/>
          <a:ext cx="1908000" cy="410569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590801</xdr:colOff>
      <xdr:row>11</xdr:row>
      <xdr:rowOff>172863</xdr:rowOff>
    </xdr:from>
    <xdr:to>
      <xdr:col>0</xdr:col>
      <xdr:colOff>1898737</xdr:colOff>
      <xdr:row>13</xdr:row>
      <xdr:rowOff>178</xdr:rowOff>
    </xdr:to>
    <xdr:sp macro="[0]!MenuB" textlink="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 txBox="1"/>
      </xdr:nvSpPr>
      <xdr:spPr>
        <a:xfrm>
          <a:off x="590801" y="2573163"/>
          <a:ext cx="1307936" cy="2464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Form </a:t>
          </a:r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Bayar SPP</a:t>
          </a:r>
        </a:p>
      </xdr:txBody>
    </xdr:sp>
    <xdr:clientData/>
  </xdr:twoCellAnchor>
  <xdr:twoCellAnchor>
    <xdr:from>
      <xdr:col>0</xdr:col>
      <xdr:colOff>207111</xdr:colOff>
      <xdr:row>11</xdr:row>
      <xdr:rowOff>144852</xdr:rowOff>
    </xdr:from>
    <xdr:to>
      <xdr:col>0</xdr:col>
      <xdr:colOff>523834</xdr:colOff>
      <xdr:row>13</xdr:row>
      <xdr:rowOff>53313</xdr:rowOff>
    </xdr:to>
    <xdr:pic macro="[0]!MenuB">
      <xdr:nvPicPr>
        <xdr:cNvPr id="50" name="Graphic 49" descr="Fax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7"/>
            </a:ext>
          </a:extLst>
        </a:blip>
        <a:stretch>
          <a:fillRect/>
        </a:stretch>
      </xdr:blipFill>
      <xdr:spPr>
        <a:xfrm>
          <a:off x="207111" y="2545152"/>
          <a:ext cx="316723" cy="327561"/>
        </a:xfrm>
        <a:prstGeom prst="rect">
          <a:avLst/>
        </a:prstGeom>
      </xdr:spPr>
    </xdr:pic>
    <xdr:clientData/>
  </xdr:twoCellAnchor>
  <xdr:twoCellAnchor>
    <xdr:from>
      <xdr:col>0</xdr:col>
      <xdr:colOff>90488</xdr:colOff>
      <xdr:row>18</xdr:row>
      <xdr:rowOff>105728</xdr:rowOff>
    </xdr:from>
    <xdr:to>
      <xdr:col>0</xdr:col>
      <xdr:colOff>1998488</xdr:colOff>
      <xdr:row>20</xdr:row>
      <xdr:rowOff>109103</xdr:rowOff>
    </xdr:to>
    <xdr:sp macro="[0]!MenuD" textlink="">
      <xdr:nvSpPr>
        <xdr:cNvPr id="30" name="MENU4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90488" y="3972878"/>
          <a:ext cx="1908000" cy="422475"/>
        </a:xfrm>
        <a:prstGeom prst="rect">
          <a:avLst/>
        </a:prstGeom>
        <a:solidFill>
          <a:srgbClr val="E8671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592548</xdr:colOff>
      <xdr:row>18</xdr:row>
      <xdr:rowOff>176999</xdr:rowOff>
    </xdr:from>
    <xdr:to>
      <xdr:col>0</xdr:col>
      <xdr:colOff>1707212</xdr:colOff>
      <xdr:row>20</xdr:row>
      <xdr:rowOff>36245</xdr:rowOff>
    </xdr:to>
    <xdr:sp macro="[0]!MenuD" textlink="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 txBox="1"/>
      </xdr:nvSpPr>
      <xdr:spPr>
        <a:xfrm>
          <a:off x="592548" y="4044149"/>
          <a:ext cx="1114664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Tabel </a:t>
          </a:r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Bayar</a:t>
          </a:r>
        </a:p>
      </xdr:txBody>
    </xdr:sp>
    <xdr:clientData/>
  </xdr:twoCellAnchor>
  <xdr:twoCellAnchor>
    <xdr:from>
      <xdr:col>0</xdr:col>
      <xdr:colOff>230723</xdr:colOff>
      <xdr:row>18</xdr:row>
      <xdr:rowOff>163874</xdr:rowOff>
    </xdr:from>
    <xdr:to>
      <xdr:col>0</xdr:col>
      <xdr:colOff>574679</xdr:colOff>
      <xdr:row>20</xdr:row>
      <xdr:rowOff>47625</xdr:rowOff>
    </xdr:to>
    <xdr:pic macro="[0]!MenuD">
      <xdr:nvPicPr>
        <xdr:cNvPr id="55" name="Graphic 54" descr="Money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30723" y="4031024"/>
          <a:ext cx="343956" cy="302851"/>
        </a:xfrm>
        <a:prstGeom prst="rect">
          <a:avLst/>
        </a:prstGeom>
      </xdr:spPr>
    </xdr:pic>
    <xdr:clientData/>
  </xdr:twoCellAnchor>
  <xdr:twoCellAnchor>
    <xdr:from>
      <xdr:col>0</xdr:col>
      <xdr:colOff>90493</xdr:colOff>
      <xdr:row>22</xdr:row>
      <xdr:rowOff>5715</xdr:rowOff>
    </xdr:from>
    <xdr:to>
      <xdr:col>0</xdr:col>
      <xdr:colOff>1998493</xdr:colOff>
      <xdr:row>24</xdr:row>
      <xdr:rowOff>9090</xdr:rowOff>
    </xdr:to>
    <xdr:sp macro="[0]!MenuE" textlink="">
      <xdr:nvSpPr>
        <xdr:cNvPr id="31" name="MENU5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90493" y="4711065"/>
          <a:ext cx="1908000" cy="422475"/>
        </a:xfrm>
        <a:prstGeom prst="rect">
          <a:avLst/>
        </a:prstGeom>
        <a:solidFill>
          <a:srgbClr val="3223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593623</xdr:colOff>
      <xdr:row>22</xdr:row>
      <xdr:rowOff>81149</xdr:rowOff>
    </xdr:from>
    <xdr:to>
      <xdr:col>0</xdr:col>
      <xdr:colOff>1800234</xdr:colOff>
      <xdr:row>23</xdr:row>
      <xdr:rowOff>143808</xdr:rowOff>
    </xdr:to>
    <xdr:sp macro="[0]!MenuE" textlink="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/>
      </xdr:nvSpPr>
      <xdr:spPr>
        <a:xfrm>
          <a:off x="593623" y="4786499"/>
          <a:ext cx="1206611" cy="2722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d-ID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Sheet </a:t>
          </a:r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Kwitansi</a:t>
          </a:r>
        </a:p>
      </xdr:txBody>
    </xdr:sp>
    <xdr:clientData/>
  </xdr:twoCellAnchor>
  <xdr:twoCellAnchor>
    <xdr:from>
      <xdr:col>0</xdr:col>
      <xdr:colOff>209550</xdr:colOff>
      <xdr:row>22</xdr:row>
      <xdr:rowOff>20944</xdr:rowOff>
    </xdr:from>
    <xdr:to>
      <xdr:col>0</xdr:col>
      <xdr:colOff>619890</xdr:colOff>
      <xdr:row>23</xdr:row>
      <xdr:rowOff>203413</xdr:rowOff>
    </xdr:to>
    <xdr:pic macro="[0]!MenuE">
      <xdr:nvPicPr>
        <xdr:cNvPr id="59" name="Graphic 58" descr="Credit card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1"/>
            </a:ext>
          </a:extLst>
        </a:blip>
        <a:stretch>
          <a:fillRect/>
        </a:stretch>
      </xdr:blipFill>
      <xdr:spPr>
        <a:xfrm>
          <a:off x="209550" y="4726294"/>
          <a:ext cx="410340" cy="392019"/>
        </a:xfrm>
        <a:prstGeom prst="rect">
          <a:avLst/>
        </a:prstGeom>
      </xdr:spPr>
    </xdr:pic>
    <xdr:clientData/>
  </xdr:twoCellAnchor>
  <xdr:twoCellAnchor>
    <xdr:from>
      <xdr:col>10</xdr:col>
      <xdr:colOff>149597</xdr:colOff>
      <xdr:row>0</xdr:row>
      <xdr:rowOff>100852</xdr:rowOff>
    </xdr:from>
    <xdr:to>
      <xdr:col>15</xdr:col>
      <xdr:colOff>71152</xdr:colOff>
      <xdr:row>4</xdr:row>
      <xdr:rowOff>100852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pSpPr/>
      </xdr:nvGrpSpPr>
      <xdr:grpSpPr>
        <a:xfrm>
          <a:off x="11781303" y="100852"/>
          <a:ext cx="2913525" cy="762000"/>
          <a:chOff x="16409334" y="1580029"/>
          <a:chExt cx="3347779" cy="851647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xmlns="" id="{00000000-0008-0000-0000-000002000000}"/>
              </a:ext>
            </a:extLst>
          </xdr:cNvPr>
          <xdr:cNvSpPr/>
        </xdr:nvSpPr>
        <xdr:spPr>
          <a:xfrm>
            <a:off x="16409334" y="1580029"/>
            <a:ext cx="3290607" cy="851647"/>
          </a:xfrm>
          <a:prstGeom prst="roundRect">
            <a:avLst>
              <a:gd name="adj" fmla="val 8712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" name="Graphic 5" descr="Users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16525022" y="1770610"/>
            <a:ext cx="542313" cy="475202"/>
          </a:xfrm>
          <a:prstGeom prst="rect">
            <a:avLst/>
          </a:prstGeom>
        </xdr:spPr>
      </xdr:pic>
      <xdr:sp macro="" textlink="$O$18">
        <xdr:nvSpPr>
          <xdr:cNvPr id="8" name="Rectangle: Rounded Corners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/>
        </xdr:nvSpPr>
        <xdr:spPr>
          <a:xfrm>
            <a:off x="18446587" y="1766365"/>
            <a:ext cx="1310526" cy="64826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C47977-1D19-4988-9B02-2EFAAD745A20}" type="TxLink">
              <a:rPr lang="en-US" sz="36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Calibri"/>
              </a:rPr>
              <a:pPr algn="ctr"/>
              <a:t>19</a:t>
            </a:fld>
            <a:endParaRPr lang="en-US" sz="138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8661742" y="1613964"/>
            <a:ext cx="818879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>
                    <a:lumMod val="9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</a:t>
            </a:r>
            <a:r>
              <a:rPr lang="en-US" sz="1100" baseline="0">
                <a:solidFill>
                  <a:schemeClr val="bg1">
                    <a:lumMod val="9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Siswa</a:t>
            </a:r>
            <a:endParaRPr lang="en-US" sz="1100">
              <a:solidFill>
                <a:schemeClr val="bg1">
                  <a:lumMod val="9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90488</xdr:colOff>
      <xdr:row>25</xdr:row>
      <xdr:rowOff>120016</xdr:rowOff>
    </xdr:from>
    <xdr:to>
      <xdr:col>0</xdr:col>
      <xdr:colOff>1998488</xdr:colOff>
      <xdr:row>27</xdr:row>
      <xdr:rowOff>123391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GrpSpPr/>
      </xdr:nvGrpSpPr>
      <xdr:grpSpPr>
        <a:xfrm>
          <a:off x="90488" y="5039398"/>
          <a:ext cx="1908000" cy="384375"/>
          <a:chOff x="10210800" y="336402"/>
          <a:chExt cx="2163142" cy="420865"/>
        </a:xfrm>
      </xdr:grpSpPr>
      <xdr:sp macro="[0]!MenuF" textlink="">
        <xdr:nvSpPr>
          <xdr:cNvPr id="32" name="MENU6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SpPr/>
        </xdr:nvSpPr>
        <xdr:spPr>
          <a:xfrm>
            <a:off x="10210800" y="336402"/>
            <a:ext cx="2163142" cy="420865"/>
          </a:xfrm>
          <a:prstGeom prst="rect">
            <a:avLst/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nuF" textlink="">
        <xdr:nvSpPr>
          <xdr:cNvPr id="48" name="TextBox 47">
            <a:extLst>
              <a:ext uri="{FF2B5EF4-FFF2-40B4-BE49-F238E27FC236}">
                <a16:creationId xmlns:a16="http://schemas.microsoft.com/office/drawing/2014/main" xmlns="" id="{00000000-0008-0000-0000-000030000000}"/>
              </a:ext>
            </a:extLst>
          </xdr:cNvPr>
          <xdr:cNvSpPr txBox="1"/>
        </xdr:nvSpPr>
        <xdr:spPr>
          <a:xfrm>
            <a:off x="10773435" y="406654"/>
            <a:ext cx="1032870" cy="2711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</xdr:grpSp>
    <xdr:clientData/>
  </xdr:twoCellAnchor>
  <xdr:twoCellAnchor>
    <xdr:from>
      <xdr:col>0</xdr:col>
      <xdr:colOff>227678</xdr:colOff>
      <xdr:row>25</xdr:row>
      <xdr:rowOff>171415</xdr:rowOff>
    </xdr:from>
    <xdr:to>
      <xdr:col>0</xdr:col>
      <xdr:colOff>583079</xdr:colOff>
      <xdr:row>27</xdr:row>
      <xdr:rowOff>67842</xdr:rowOff>
    </xdr:to>
    <xdr:pic>
      <xdr:nvPicPr>
        <xdr:cNvPr id="33" name="Graphic 32" descr="Power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5"/>
            </a:ext>
          </a:extLst>
        </a:blip>
        <a:stretch>
          <a:fillRect/>
        </a:stretch>
      </xdr:blipFill>
      <xdr:spPr>
        <a:xfrm>
          <a:off x="227678" y="5505415"/>
          <a:ext cx="355401" cy="315527"/>
        </a:xfrm>
        <a:prstGeom prst="rect">
          <a:avLst/>
        </a:prstGeom>
      </xdr:spPr>
    </xdr:pic>
    <xdr:clientData/>
  </xdr:twoCellAnchor>
  <xdr:twoCellAnchor>
    <xdr:from>
      <xdr:col>1</xdr:col>
      <xdr:colOff>11765</xdr:colOff>
      <xdr:row>0</xdr:row>
      <xdr:rowOff>60792</xdr:rowOff>
    </xdr:from>
    <xdr:to>
      <xdr:col>3</xdr:col>
      <xdr:colOff>888629</xdr:colOff>
      <xdr:row>4</xdr:row>
      <xdr:rowOff>194702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pSpPr/>
      </xdr:nvGrpSpPr>
      <xdr:grpSpPr>
        <a:xfrm>
          <a:off x="2152089" y="60792"/>
          <a:ext cx="3207687" cy="895910"/>
          <a:chOff x="3082177" y="67796"/>
          <a:chExt cx="3648596" cy="985557"/>
        </a:xfrm>
      </xdr:grpSpPr>
      <xdr:sp macro="" textlink="">
        <xdr:nvSpPr>
          <xdr:cNvPr id="71" name="Rectangle: Rounded Corners 10">
            <a:extLst>
              <a:ext uri="{FF2B5EF4-FFF2-40B4-BE49-F238E27FC236}">
                <a16:creationId xmlns:a16="http://schemas.microsoft.com/office/drawing/2014/main" xmlns="" id="{00000000-0008-0000-0000-000047000000}"/>
              </a:ext>
            </a:extLst>
          </xdr:cNvPr>
          <xdr:cNvSpPr/>
        </xdr:nvSpPr>
        <xdr:spPr>
          <a:xfrm>
            <a:off x="3082177" y="67796"/>
            <a:ext cx="3558812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Rectangle: Rounded Corners 25">
            <a:extLst>
              <a:ext uri="{FF2B5EF4-FFF2-40B4-BE49-F238E27FC236}">
                <a16:creationId xmlns:a16="http://schemas.microsoft.com/office/drawing/2014/main" xmlns="" id="{00000000-0008-0000-0000-000048000000}"/>
              </a:ext>
            </a:extLst>
          </xdr:cNvPr>
          <xdr:cNvSpPr/>
        </xdr:nvSpPr>
        <xdr:spPr>
          <a:xfrm>
            <a:off x="3181351" y="201145"/>
            <a:ext cx="729502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GrpSpPr/>
        </xdr:nvGrpSpPr>
        <xdr:grpSpPr>
          <a:xfrm>
            <a:off x="3206734" y="233080"/>
            <a:ext cx="615618" cy="658051"/>
            <a:chOff x="10730183" y="3267075"/>
            <a:chExt cx="529376" cy="648028"/>
          </a:xfrm>
        </xdr:grpSpPr>
        <xdr:pic>
          <xdr:nvPicPr>
            <xdr:cNvPr id="13" name="Graphic 12" descr="Male profile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7"/>
                </a:ext>
              </a:extLst>
            </a:blip>
            <a:stretch>
              <a:fillRect/>
            </a:stretch>
          </xdr:blipFill>
          <xdr:spPr>
            <a:xfrm>
              <a:off x="10765612" y="32670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10730183" y="3657604"/>
              <a:ext cx="529376" cy="257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10</a:t>
              </a:r>
            </a:p>
          </xdr:txBody>
        </xdr:sp>
      </xdr:grpSp>
      <xdr:sp macro="" textlink="$N$9">
        <xdr:nvSpPr>
          <xdr:cNvPr id="24" name="Rectangle 23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3878676" y="412937"/>
            <a:ext cx="1719701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6B8F9F0-65BD-4363-8C46-5962A08C6096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xmlns="" id="{00000000-0008-0000-0000-000041000000}"/>
              </a:ext>
            </a:extLst>
          </xdr:cNvPr>
          <xdr:cNvSpPr txBox="1"/>
        </xdr:nvSpPr>
        <xdr:spPr>
          <a:xfrm>
            <a:off x="3935826" y="251012"/>
            <a:ext cx="1101937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$O$9">
        <xdr:nvSpPr>
          <xdr:cNvPr id="57" name="Rectangle 56">
            <a:extLst>
              <a:ext uri="{FF2B5EF4-FFF2-40B4-BE49-F238E27FC236}">
                <a16:creationId xmlns:a16="http://schemas.microsoft.com/office/drawing/2014/main" xmlns="" id="{00000000-0008-0000-0000-000039000000}"/>
              </a:ext>
            </a:extLst>
          </xdr:cNvPr>
          <xdr:cNvSpPr/>
        </xdr:nvSpPr>
        <xdr:spPr>
          <a:xfrm>
            <a:off x="5093593" y="396854"/>
            <a:ext cx="1637180" cy="4129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E5EE402-84DE-475B-B267-0F8F8D0B86A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Rp1.800.000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xmlns="" id="{00000000-0008-0000-0000-000042000000}"/>
              </a:ext>
            </a:extLst>
          </xdr:cNvPr>
          <xdr:cNvSpPr txBox="1"/>
        </xdr:nvSpPr>
        <xdr:spPr>
          <a:xfrm>
            <a:off x="5141218" y="231566"/>
            <a:ext cx="1113304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 editAs="absolute">
    <xdr:from>
      <xdr:col>3</xdr:col>
      <xdr:colOff>862853</xdr:colOff>
      <xdr:row>0</xdr:row>
      <xdr:rowOff>51267</xdr:rowOff>
    </xdr:from>
    <xdr:to>
      <xdr:col>6</xdr:col>
      <xdr:colOff>845486</xdr:colOff>
      <xdr:row>4</xdr:row>
      <xdr:rowOff>185177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5334000" y="51267"/>
          <a:ext cx="3153898" cy="895910"/>
          <a:chOff x="6889378" y="58271"/>
          <a:chExt cx="3633038" cy="985557"/>
        </a:xfrm>
      </xdr:grpSpPr>
      <xdr:sp macro="" textlink="">
        <xdr:nvSpPr>
          <xdr:cNvPr id="73" name="Rectangle: Rounded Corners 10">
            <a:extLst>
              <a:ext uri="{FF2B5EF4-FFF2-40B4-BE49-F238E27FC236}">
                <a16:creationId xmlns:a16="http://schemas.microsoft.com/office/drawing/2014/main" xmlns="" id="{00000000-0008-0000-0000-000049000000}"/>
              </a:ext>
            </a:extLst>
          </xdr:cNvPr>
          <xdr:cNvSpPr/>
        </xdr:nvSpPr>
        <xdr:spPr>
          <a:xfrm>
            <a:off x="6889378" y="58271"/>
            <a:ext cx="3596313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Rectangle: Rounded Corners 25">
            <a:extLst>
              <a:ext uri="{FF2B5EF4-FFF2-40B4-BE49-F238E27FC236}">
                <a16:creationId xmlns:a16="http://schemas.microsoft.com/office/drawing/2014/main" xmlns="" id="{00000000-0008-0000-0000-00004C000000}"/>
              </a:ext>
            </a:extLst>
          </xdr:cNvPr>
          <xdr:cNvSpPr/>
        </xdr:nvSpPr>
        <xdr:spPr>
          <a:xfrm>
            <a:off x="6969502" y="201145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GrpSpPr/>
        </xdr:nvGrpSpPr>
        <xdr:grpSpPr>
          <a:xfrm>
            <a:off x="7025248" y="223600"/>
            <a:ext cx="612016" cy="645442"/>
            <a:chOff x="10728297" y="3969525"/>
            <a:chExt cx="533445" cy="635357"/>
          </a:xfrm>
        </xdr:grpSpPr>
        <xdr:pic>
          <xdr:nvPicPr>
            <xdr:cNvPr id="15" name="Graphic 14" descr="Female Profile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9"/>
                </a:ext>
              </a:extLst>
            </a:blip>
            <a:stretch>
              <a:fillRect/>
            </a:stretch>
          </xdr:blipFill>
          <xdr:spPr>
            <a:xfrm>
              <a:off x="10765612" y="396952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xmlns="" id="{00000000-0008-0000-0000-000031000000}"/>
                </a:ext>
              </a:extLst>
            </xdr:cNvPr>
            <xdr:cNvSpPr txBox="1"/>
          </xdr:nvSpPr>
          <xdr:spPr>
            <a:xfrm>
              <a:off x="10728297" y="4343400"/>
              <a:ext cx="533445" cy="261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11</a:t>
              </a:r>
            </a:p>
          </xdr:txBody>
        </xdr:sp>
      </xdr:grpSp>
      <xdr:sp macro="" textlink="$N$10">
        <xdr:nvSpPr>
          <xdr:cNvPr id="58" name="Rectangle 57">
            <a:extLst>
              <a:ext uri="{FF2B5EF4-FFF2-40B4-BE49-F238E27FC236}">
                <a16:creationId xmlns:a16="http://schemas.microsoft.com/office/drawing/2014/main" xmlns="" id="{00000000-0008-0000-0000-00003A000000}"/>
              </a:ext>
            </a:extLst>
          </xdr:cNvPr>
          <xdr:cNvSpPr/>
        </xdr:nvSpPr>
        <xdr:spPr>
          <a:xfrm>
            <a:off x="7654741" y="365312"/>
            <a:ext cx="1726266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0819DF7-170E-4ED8-B000-4F2F7EB6178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O$10">
        <xdr:nvSpPr>
          <xdr:cNvPr id="62" name="Rectangle 61">
            <a:extLst>
              <a:ext uri="{FF2B5EF4-FFF2-40B4-BE49-F238E27FC236}">
                <a16:creationId xmlns:a16="http://schemas.microsoft.com/office/drawing/2014/main" xmlns="" id="{00000000-0008-0000-0000-00003E000000}"/>
              </a:ext>
            </a:extLst>
          </xdr:cNvPr>
          <xdr:cNvSpPr/>
        </xdr:nvSpPr>
        <xdr:spPr>
          <a:xfrm>
            <a:off x="8886918" y="355656"/>
            <a:ext cx="1635498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8E6F2E76-7348-4F25-A27B-53BAEB759A14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Rp6.600.000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xmlns="" id="{00000000-0008-0000-0000-000043000000}"/>
              </a:ext>
            </a:extLst>
          </xdr:cNvPr>
          <xdr:cNvSpPr txBox="1"/>
        </xdr:nvSpPr>
        <xdr:spPr>
          <a:xfrm>
            <a:off x="7711891" y="212912"/>
            <a:ext cx="1107141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xmlns="" id="{00000000-0008-0000-0000-000044000000}"/>
              </a:ext>
            </a:extLst>
          </xdr:cNvPr>
          <xdr:cNvSpPr txBox="1"/>
        </xdr:nvSpPr>
        <xdr:spPr>
          <a:xfrm>
            <a:off x="8944067" y="190368"/>
            <a:ext cx="1111624" cy="2682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 editAs="absolute">
    <xdr:from>
      <xdr:col>6</xdr:col>
      <xdr:colOff>857813</xdr:colOff>
      <xdr:row>0</xdr:row>
      <xdr:rowOff>51267</xdr:rowOff>
    </xdr:from>
    <xdr:to>
      <xdr:col>10</xdr:col>
      <xdr:colOff>55871</xdr:colOff>
      <xdr:row>4</xdr:row>
      <xdr:rowOff>185177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GrpSpPr/>
      </xdr:nvGrpSpPr>
      <xdr:grpSpPr>
        <a:xfrm>
          <a:off x="8500225" y="51267"/>
          <a:ext cx="3187352" cy="895910"/>
          <a:chOff x="10780059" y="53788"/>
          <a:chExt cx="3641294" cy="985557"/>
        </a:xfrm>
      </xdr:grpSpPr>
      <xdr:sp macro="" textlink="">
        <xdr:nvSpPr>
          <xdr:cNvPr id="77" name="Rectangle: Rounded Corners 10">
            <a:extLst>
              <a:ext uri="{FF2B5EF4-FFF2-40B4-BE49-F238E27FC236}">
                <a16:creationId xmlns:a16="http://schemas.microsoft.com/office/drawing/2014/main" xmlns="" id="{00000000-0008-0000-0000-00004D000000}"/>
              </a:ext>
            </a:extLst>
          </xdr:cNvPr>
          <xdr:cNvSpPr/>
        </xdr:nvSpPr>
        <xdr:spPr>
          <a:xfrm>
            <a:off x="10780059" y="53788"/>
            <a:ext cx="3576176" cy="985557"/>
          </a:xfrm>
          <a:prstGeom prst="roundRect">
            <a:avLst>
              <a:gd name="adj" fmla="val 12605"/>
            </a:avLst>
          </a:prstGeom>
          <a:solidFill>
            <a:srgbClr val="32235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: Rounded Corners 25">
            <a:extLst>
              <a:ext uri="{FF2B5EF4-FFF2-40B4-BE49-F238E27FC236}">
                <a16:creationId xmlns:a16="http://schemas.microsoft.com/office/drawing/2014/main" xmlns="" id="{00000000-0008-0000-0000-00004E000000}"/>
              </a:ext>
            </a:extLst>
          </xdr:cNvPr>
          <xdr:cNvSpPr/>
        </xdr:nvSpPr>
        <xdr:spPr>
          <a:xfrm>
            <a:off x="10875867" y="185456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GrpSpPr/>
        </xdr:nvGrpSpPr>
        <xdr:grpSpPr>
          <a:xfrm>
            <a:off x="10935249" y="208668"/>
            <a:ext cx="615938" cy="653292"/>
            <a:chOff x="10739699" y="4671975"/>
            <a:chExt cx="529690" cy="643270"/>
          </a:xfrm>
        </xdr:grpSpPr>
        <xdr:pic>
          <xdr:nvPicPr>
            <xdr:cNvPr id="17" name="Graphic 16" descr="School boy">
              <a:extLst>
                <a:ext uri="{FF2B5EF4-FFF2-40B4-BE49-F238E27FC236}">
                  <a16:creationId xmlns:a16="http://schemas.microsoft.com/office/drawing/2014/main" xmlns="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21"/>
                </a:ext>
              </a:extLst>
            </a:blip>
            <a:stretch>
              <a:fillRect/>
            </a:stretch>
          </xdr:blipFill>
          <xdr:spPr>
            <a:xfrm>
              <a:off x="10765612" y="46719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xmlns="" id="{00000000-0008-0000-0000-000036000000}"/>
                </a:ext>
              </a:extLst>
            </xdr:cNvPr>
            <xdr:cNvSpPr txBox="1"/>
          </xdr:nvSpPr>
          <xdr:spPr>
            <a:xfrm>
              <a:off x="10739699" y="5057775"/>
              <a:ext cx="529690" cy="257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12</a:t>
              </a:r>
            </a:p>
          </xdr:txBody>
        </xdr:sp>
      </xdr:grpSp>
      <xdr:sp macro="" textlink="$N$11">
        <xdr:nvSpPr>
          <xdr:cNvPr id="63" name="Rectangle 62">
            <a:extLst>
              <a:ext uri="{FF2B5EF4-FFF2-40B4-BE49-F238E27FC236}">
                <a16:creationId xmlns:a16="http://schemas.microsoft.com/office/drawing/2014/main" xmlns="" id="{00000000-0008-0000-0000-00003F000000}"/>
              </a:ext>
            </a:extLst>
          </xdr:cNvPr>
          <xdr:cNvSpPr/>
        </xdr:nvSpPr>
        <xdr:spPr>
          <a:xfrm>
            <a:off x="11581037" y="415659"/>
            <a:ext cx="1722103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F3A9FFD-BE4D-45E9-AECA-207236414893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O$11">
        <xdr:nvSpPr>
          <xdr:cNvPr id="64" name="Rectangle 63">
            <a:extLst>
              <a:ext uri="{FF2B5EF4-FFF2-40B4-BE49-F238E27FC236}">
                <a16:creationId xmlns:a16="http://schemas.microsoft.com/office/drawing/2014/main" xmlns="" id="{00000000-0008-0000-0000-000040000000}"/>
              </a:ext>
            </a:extLst>
          </xdr:cNvPr>
          <xdr:cNvSpPr/>
        </xdr:nvSpPr>
        <xdr:spPr>
          <a:xfrm>
            <a:off x="12786256" y="415659"/>
            <a:ext cx="1635097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58E0CC0-2BF2-49C4-9617-C3B1C32E109B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Rp5.040.000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xmlns="" id="{00000000-0008-0000-0000-000045000000}"/>
              </a:ext>
            </a:extLst>
          </xdr:cNvPr>
          <xdr:cNvSpPr txBox="1"/>
        </xdr:nvSpPr>
        <xdr:spPr>
          <a:xfrm>
            <a:off x="11623619" y="268702"/>
            <a:ext cx="1106740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xmlns="" id="{00000000-0008-0000-0000-000046000000}"/>
              </a:ext>
            </a:extLst>
          </xdr:cNvPr>
          <xdr:cNvSpPr txBox="1"/>
        </xdr:nvSpPr>
        <xdr:spPr>
          <a:xfrm>
            <a:off x="12835560" y="259177"/>
            <a:ext cx="1112023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>
    <xdr:from>
      <xdr:col>11</xdr:col>
      <xdr:colOff>391645</xdr:colOff>
      <xdr:row>1</xdr:row>
      <xdr:rowOff>99378</xdr:rowOff>
    </xdr:from>
    <xdr:to>
      <xdr:col>13</xdr:col>
      <xdr:colOff>110938</xdr:colOff>
      <xdr:row>4</xdr:row>
      <xdr:rowOff>107901</xdr:rowOff>
    </xdr:to>
    <xdr:sp macro="" textlink="$M$18">
      <xdr:nvSpPr>
        <xdr:cNvPr id="74" name="Rectangle: Rounded Corners 7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SpPr/>
      </xdr:nvSpPr>
      <xdr:spPr>
        <a:xfrm>
          <a:off x="12202645" y="308928"/>
          <a:ext cx="1109943" cy="6371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8437101-6F14-46AF-9AEB-6CB077B8B7D9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7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11</xdr:col>
      <xdr:colOff>540125</xdr:colOff>
      <xdr:row>0</xdr:row>
      <xdr:rowOff>153520</xdr:rowOff>
    </xdr:from>
    <xdr:to>
      <xdr:col>12</xdr:col>
      <xdr:colOff>544337</xdr:colOff>
      <xdr:row>2</xdr:row>
      <xdr:rowOff>21566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SpPr txBox="1"/>
      </xdr:nvSpPr>
      <xdr:spPr>
        <a:xfrm>
          <a:off x="12351125" y="153520"/>
          <a:ext cx="699537" cy="287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id-ID" sz="1100">
              <a:solidFill>
                <a:srgbClr val="FFC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Laki - Laki</a:t>
          </a:r>
          <a:endParaRPr lang="en-US" sz="1100">
            <a:solidFill>
              <a:srgbClr val="FFC00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12</xdr:col>
      <xdr:colOff>277345</xdr:colOff>
      <xdr:row>1</xdr:row>
      <xdr:rowOff>89853</xdr:rowOff>
    </xdr:from>
    <xdr:to>
      <xdr:col>13</xdr:col>
      <xdr:colOff>691963</xdr:colOff>
      <xdr:row>4</xdr:row>
      <xdr:rowOff>98376</xdr:rowOff>
    </xdr:to>
    <xdr:sp macro="" textlink="$N$18">
      <xdr:nvSpPr>
        <xdr:cNvPr id="80" name="Rectangle: Rounded Corners 7">
          <a:extLst>
            <a:ext uri="{FF2B5EF4-FFF2-40B4-BE49-F238E27FC236}">
              <a16:creationId xmlns:a16="http://schemas.microsoft.com/office/drawing/2014/main" xmlns="" id="{00000000-0008-0000-0000-000050000000}"/>
            </a:ext>
          </a:extLst>
        </xdr:cNvPr>
        <xdr:cNvSpPr/>
      </xdr:nvSpPr>
      <xdr:spPr>
        <a:xfrm>
          <a:off x="12783670" y="299403"/>
          <a:ext cx="1109943" cy="6371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C921B34-37D0-4950-8529-0E31783F04A8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12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12</xdr:col>
      <xdr:colOff>482975</xdr:colOff>
      <xdr:row>0</xdr:row>
      <xdr:rowOff>143995</xdr:rowOff>
    </xdr:from>
    <xdr:to>
      <xdr:col>13</xdr:col>
      <xdr:colOff>487187</xdr:colOff>
      <xdr:row>2</xdr:row>
      <xdr:rowOff>12041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xmlns="" id="{00000000-0008-0000-0000-000051000000}"/>
            </a:ext>
          </a:extLst>
        </xdr:cNvPr>
        <xdr:cNvSpPr txBox="1"/>
      </xdr:nvSpPr>
      <xdr:spPr>
        <a:xfrm>
          <a:off x="12989300" y="143995"/>
          <a:ext cx="699537" cy="287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100">
              <a:solidFill>
                <a:srgbClr val="FFC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Perempuan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552450</xdr:colOff>
      <xdr:row>0</xdr:row>
      <xdr:rowOff>114300</xdr:rowOff>
    </xdr:from>
    <xdr:to>
      <xdr:col>17</xdr:col>
      <xdr:colOff>16383</xdr:colOff>
      <xdr:row>2</xdr:row>
      <xdr:rowOff>95250</xdr:rowOff>
    </xdr:to>
    <xdr:sp macro="[0]!MenuUtama" textlink="">
      <xdr:nvSpPr>
        <xdr:cNvPr id="6" name="Arrow: Pentagon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 flipH="1">
          <a:off x="12830175" y="114300"/>
          <a:ext cx="1073658" cy="3810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57150</xdr:rowOff>
    </xdr:from>
    <xdr:to>
      <xdr:col>5</xdr:col>
      <xdr:colOff>854583</xdr:colOff>
      <xdr:row>2</xdr:row>
      <xdr:rowOff>57150</xdr:rowOff>
    </xdr:to>
    <xdr:sp macro="[0]!MenuUtama" textlink="">
      <xdr:nvSpPr>
        <xdr:cNvPr id="2" name="Arrow: Pentagon 5">
          <a:extLst>
            <a:ext uri="{FF2B5EF4-FFF2-40B4-BE49-F238E27FC236}">
              <a16:creationId xmlns:a16="http://schemas.microsoft.com/office/drawing/2014/main" xmlns="" id="{ED168FA5-4281-4D02-99E2-B13EC5699ECB}"/>
            </a:ext>
          </a:extLst>
        </xdr:cNvPr>
        <xdr:cNvSpPr/>
      </xdr:nvSpPr>
      <xdr:spPr>
        <a:xfrm flipH="1">
          <a:off x="4657725" y="57150"/>
          <a:ext cx="1149858" cy="3810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504825</xdr:colOff>
      <xdr:row>2</xdr:row>
      <xdr:rowOff>57150</xdr:rowOff>
    </xdr:from>
    <xdr:ext cx="3759875" cy="5659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3638550" y="457200"/>
          <a:ext cx="3759875" cy="565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1">
              <a:latin typeface="Roboto Condensed" panose="02000000000000000000" pitchFamily="2" charset="0"/>
              <a:ea typeface="Roboto Condensed" panose="02000000000000000000" pitchFamily="2" charset="0"/>
            </a:rPr>
            <a:t>KWITANSI</a:t>
          </a:r>
          <a:r>
            <a:rPr lang="en-US" sz="28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 PEMBAYARAN</a:t>
          </a:r>
          <a:endParaRPr lang="en-US" sz="28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11</xdr:col>
      <xdr:colOff>323850</xdr:colOff>
      <xdr:row>0</xdr:row>
      <xdr:rowOff>76200</xdr:rowOff>
    </xdr:from>
    <xdr:to>
      <xdr:col>13</xdr:col>
      <xdr:colOff>359283</xdr:colOff>
      <xdr:row>0</xdr:row>
      <xdr:rowOff>457200</xdr:rowOff>
    </xdr:to>
    <xdr:sp macro="[0]!MenuUtama" textlink="">
      <xdr:nvSpPr>
        <xdr:cNvPr id="3" name="Arrow: Pentagon 5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 flipH="1">
          <a:off x="6553200" y="76200"/>
          <a:ext cx="1302258" cy="381000"/>
        </a:xfrm>
        <a:prstGeom prst="homePlate">
          <a:avLst/>
        </a:prstGeom>
        <a:solidFill>
          <a:srgbClr val="1108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0"/>
  <sheetViews>
    <sheetView showGridLines="0" tabSelected="1" zoomScale="85" zoomScaleNormal="85" workbookViewId="0">
      <pane ySplit="6" topLeftCell="A7" activePane="bottomLeft" state="frozen"/>
      <selection pane="bottomLeft" activeCell="L24" sqref="L24"/>
    </sheetView>
  </sheetViews>
  <sheetFormatPr defaultRowHeight="15" x14ac:dyDescent="0.25"/>
  <cols>
    <col min="1" max="1" width="32.140625" customWidth="1"/>
    <col min="2" max="2" width="14.28515625" style="20" customWidth="1"/>
    <col min="3" max="3" width="20.7109375" style="20" customWidth="1"/>
    <col min="4" max="4" width="13.85546875" style="20" customWidth="1"/>
    <col min="5" max="5" width="11" style="20" customWidth="1"/>
    <col min="6" max="6" width="22.85546875" style="20" customWidth="1"/>
    <col min="7" max="7" width="18.28515625" style="20" customWidth="1"/>
    <col min="8" max="8" width="13" style="36" customWidth="1"/>
    <col min="9" max="9" width="15.140625" style="20" customWidth="1"/>
    <col min="10" max="10" width="13.42578125" style="39" customWidth="1"/>
    <col min="11" max="11" width="2.42578125" style="19" customWidth="1"/>
    <col min="12" max="14" width="10.42578125" customWidth="1"/>
    <col min="15" max="15" width="11.28515625" bestFit="1" customWidth="1"/>
    <col min="16" max="16" width="13.28515625" customWidth="1"/>
    <col min="17" max="17" width="14.42578125" customWidth="1"/>
  </cols>
  <sheetData>
    <row r="1" spans="2:15" x14ac:dyDescent="0.25">
      <c r="B1" s="19"/>
      <c r="C1" s="19"/>
      <c r="D1" s="19"/>
      <c r="E1" s="19"/>
      <c r="F1" s="19"/>
      <c r="G1" s="19"/>
      <c r="H1" s="35"/>
      <c r="I1" s="19"/>
      <c r="J1" s="37"/>
    </row>
    <row r="2" spans="2:15" x14ac:dyDescent="0.25">
      <c r="B2" s="19"/>
      <c r="C2" s="19"/>
      <c r="D2" s="19"/>
      <c r="E2" s="19"/>
      <c r="F2" s="19"/>
      <c r="G2" s="19"/>
      <c r="H2" s="35"/>
      <c r="I2" s="19"/>
      <c r="J2" s="37"/>
    </row>
    <row r="3" spans="2:15" x14ac:dyDescent="0.25">
      <c r="B3" s="19"/>
      <c r="C3" s="19"/>
      <c r="D3" s="19"/>
      <c r="E3" s="19"/>
      <c r="F3" s="19"/>
      <c r="G3" s="19"/>
      <c r="H3" s="35"/>
      <c r="I3" s="19"/>
      <c r="J3" s="37"/>
    </row>
    <row r="4" spans="2:15" x14ac:dyDescent="0.25">
      <c r="B4" s="19"/>
      <c r="C4" s="19"/>
      <c r="D4" s="19"/>
      <c r="E4" s="19"/>
      <c r="F4" s="19"/>
      <c r="G4" s="19"/>
      <c r="H4" s="35"/>
      <c r="I4" s="19"/>
      <c r="J4" s="37"/>
    </row>
    <row r="5" spans="2:15" x14ac:dyDescent="0.25">
      <c r="B5" s="19"/>
      <c r="C5" s="19"/>
      <c r="D5" s="19"/>
      <c r="E5" s="19"/>
      <c r="F5" s="19"/>
      <c r="G5" s="19"/>
      <c r="H5" s="35"/>
      <c r="I5" s="19"/>
      <c r="J5" s="37"/>
    </row>
    <row r="6" spans="2:15" ht="24" customHeight="1" x14ac:dyDescent="0.25">
      <c r="B6" s="21" t="s">
        <v>0</v>
      </c>
      <c r="C6" s="21" t="s">
        <v>1</v>
      </c>
      <c r="D6" s="21" t="s">
        <v>2</v>
      </c>
      <c r="E6" s="21" t="s">
        <v>3</v>
      </c>
      <c r="F6" s="21" t="s">
        <v>4</v>
      </c>
      <c r="G6" s="21" t="s">
        <v>5</v>
      </c>
      <c r="H6" s="34" t="s">
        <v>6</v>
      </c>
      <c r="I6" s="21" t="s">
        <v>54</v>
      </c>
      <c r="J6" s="38" t="s">
        <v>7</v>
      </c>
      <c r="L6" s="22" t="s">
        <v>67</v>
      </c>
      <c r="M6" s="22"/>
      <c r="N6" s="22"/>
      <c r="O6" s="22"/>
    </row>
    <row r="7" spans="2:15" ht="16.5" customHeight="1" x14ac:dyDescent="0.25">
      <c r="B7" s="20" t="s">
        <v>81</v>
      </c>
      <c r="C7" s="20" t="s">
        <v>29</v>
      </c>
      <c r="D7" s="20" t="s">
        <v>46</v>
      </c>
      <c r="E7" s="20" t="s">
        <v>60</v>
      </c>
      <c r="F7" s="20" t="s">
        <v>51</v>
      </c>
      <c r="G7" s="20" t="s">
        <v>50</v>
      </c>
      <c r="H7" s="36">
        <v>40313</v>
      </c>
      <c r="I7" s="20" t="s">
        <v>52</v>
      </c>
      <c r="J7" s="39" t="s">
        <v>123</v>
      </c>
      <c r="L7" s="40" t="s">
        <v>140</v>
      </c>
    </row>
    <row r="8" spans="2:15" x14ac:dyDescent="0.25">
      <c r="B8" s="20" t="s">
        <v>85</v>
      </c>
      <c r="C8" s="20" t="s">
        <v>69</v>
      </c>
      <c r="D8" s="20" t="s">
        <v>46</v>
      </c>
      <c r="E8" s="20" t="s">
        <v>60</v>
      </c>
      <c r="F8" s="20" t="s">
        <v>98</v>
      </c>
      <c r="G8" s="20" t="s">
        <v>100</v>
      </c>
      <c r="H8" s="36">
        <v>40313</v>
      </c>
      <c r="I8" s="20" t="s">
        <v>111</v>
      </c>
      <c r="J8" s="39" t="s">
        <v>127</v>
      </c>
      <c r="L8" s="24" t="s">
        <v>3</v>
      </c>
      <c r="M8" s="24" t="s">
        <v>66</v>
      </c>
      <c r="N8" s="24" t="s">
        <v>138</v>
      </c>
      <c r="O8" s="24" t="s">
        <v>139</v>
      </c>
    </row>
    <row r="9" spans="2:15" x14ac:dyDescent="0.25">
      <c r="B9" s="20" t="s">
        <v>93</v>
      </c>
      <c r="C9" s="20" t="s">
        <v>77</v>
      </c>
      <c r="D9" s="20" t="s">
        <v>97</v>
      </c>
      <c r="E9" s="20" t="s">
        <v>60</v>
      </c>
      <c r="F9" s="20" t="s">
        <v>49</v>
      </c>
      <c r="G9" s="20" t="s">
        <v>108</v>
      </c>
      <c r="H9" s="36">
        <v>32942</v>
      </c>
      <c r="I9" s="20" t="s">
        <v>119</v>
      </c>
      <c r="J9" s="39" t="s">
        <v>134</v>
      </c>
      <c r="L9" s="41" t="s">
        <v>63</v>
      </c>
      <c r="M9" s="26">
        <v>50000</v>
      </c>
      <c r="N9" s="26">
        <f>SUMIF(DATABAYAR!C5:$C$100000,DASHBOARD!L9,DATABAYAR!P5:$P$100000)</f>
        <v>0</v>
      </c>
      <c r="O9" s="26">
        <f>SUMIF(DATABAYAR!$C$5:$C$100000,DASHBOARD!L9,DATABAYAR!$Q5:$Q$100000)</f>
        <v>1800000</v>
      </c>
    </row>
    <row r="10" spans="2:15" x14ac:dyDescent="0.25">
      <c r="B10" s="20" t="s">
        <v>171</v>
      </c>
      <c r="C10" s="20" t="s">
        <v>172</v>
      </c>
      <c r="D10" s="20" t="s">
        <v>46</v>
      </c>
      <c r="E10" s="20" t="s">
        <v>62</v>
      </c>
      <c r="F10" s="20" t="s">
        <v>173</v>
      </c>
      <c r="G10" s="20" t="s">
        <v>174</v>
      </c>
      <c r="H10" s="36">
        <v>36193</v>
      </c>
      <c r="I10" s="20" t="s">
        <v>175</v>
      </c>
      <c r="J10" s="39" t="s">
        <v>176</v>
      </c>
      <c r="L10" s="41" t="s">
        <v>64</v>
      </c>
      <c r="M10" s="26">
        <v>55000</v>
      </c>
      <c r="N10" s="26">
        <f>SUMIF(DATABAYAR!C6:$C$100000,DASHBOARD!L10,DATABAYAR!P6:$P$100000)</f>
        <v>0</v>
      </c>
      <c r="O10" s="26">
        <f ca="1">SUMIF(DATABAYAR!$C$5:$C$100000,DASHBOARD!L10,DATABAYAR!$Q6:$Q$100000)</f>
        <v>6600000</v>
      </c>
    </row>
    <row r="11" spans="2:15" x14ac:dyDescent="0.25">
      <c r="B11" s="20" t="s">
        <v>90</v>
      </c>
      <c r="C11" s="20" t="s">
        <v>74</v>
      </c>
      <c r="D11" s="20" t="s">
        <v>46</v>
      </c>
      <c r="E11" s="20" t="s">
        <v>61</v>
      </c>
      <c r="F11" s="20" t="s">
        <v>51</v>
      </c>
      <c r="G11" s="20" t="s">
        <v>105</v>
      </c>
      <c r="H11" s="36">
        <v>40313</v>
      </c>
      <c r="I11" s="20" t="s">
        <v>116</v>
      </c>
      <c r="J11" s="39" t="s">
        <v>124</v>
      </c>
      <c r="L11" s="41" t="s">
        <v>65</v>
      </c>
      <c r="M11" s="26">
        <v>60000</v>
      </c>
      <c r="N11" s="26">
        <f>SUMIF(DATABAYAR!C7:$C$100000,DASHBOARD!L11,DATABAYAR!P7:$P$100000)</f>
        <v>0</v>
      </c>
      <c r="O11" s="26">
        <f>SUMIF(DATABAYAR!$C$5:$C$100000,DASHBOARD!L11,DATABAYAR!$Q$5:$Q$100000)</f>
        <v>5040000</v>
      </c>
    </row>
    <row r="12" spans="2:15" ht="16.5" customHeight="1" x14ac:dyDescent="0.25">
      <c r="B12" s="20" t="s">
        <v>83</v>
      </c>
      <c r="C12" s="20" t="s">
        <v>57</v>
      </c>
      <c r="D12" s="20" t="s">
        <v>46</v>
      </c>
      <c r="E12" s="20" t="s">
        <v>61</v>
      </c>
      <c r="F12" s="20" t="s">
        <v>49</v>
      </c>
      <c r="G12" s="20" t="s">
        <v>50</v>
      </c>
      <c r="H12" s="36">
        <v>39974</v>
      </c>
      <c r="I12" s="20" t="s">
        <v>48</v>
      </c>
      <c r="J12" s="39" t="s">
        <v>125</v>
      </c>
    </row>
    <row r="13" spans="2:15" x14ac:dyDescent="0.25">
      <c r="B13" s="20" t="s">
        <v>86</v>
      </c>
      <c r="C13" s="20" t="s">
        <v>70</v>
      </c>
      <c r="D13" s="20" t="s">
        <v>97</v>
      </c>
      <c r="E13" s="20" t="s">
        <v>61</v>
      </c>
      <c r="F13" s="20" t="s">
        <v>99</v>
      </c>
      <c r="G13" s="20" t="s">
        <v>101</v>
      </c>
      <c r="H13" s="36">
        <v>32942</v>
      </c>
      <c r="I13" s="20" t="s">
        <v>112</v>
      </c>
      <c r="J13" s="39" t="s">
        <v>128</v>
      </c>
      <c r="L13" s="40" t="s">
        <v>141</v>
      </c>
    </row>
    <row r="14" spans="2:15" x14ac:dyDescent="0.25">
      <c r="B14" s="20" t="s">
        <v>87</v>
      </c>
      <c r="C14" s="20" t="s">
        <v>71</v>
      </c>
      <c r="D14" s="20" t="s">
        <v>97</v>
      </c>
      <c r="E14" s="20" t="s">
        <v>61</v>
      </c>
      <c r="F14" s="20" t="s">
        <v>51</v>
      </c>
      <c r="G14" s="20" t="s">
        <v>102</v>
      </c>
      <c r="H14" s="36">
        <v>39974</v>
      </c>
      <c r="I14" s="20" t="s">
        <v>113</v>
      </c>
      <c r="J14" s="39" t="s">
        <v>129</v>
      </c>
      <c r="L14" s="24" t="s">
        <v>3</v>
      </c>
      <c r="M14" s="24" t="s">
        <v>46</v>
      </c>
      <c r="N14" s="24" t="s">
        <v>97</v>
      </c>
      <c r="O14" s="24" t="s">
        <v>142</v>
      </c>
    </row>
    <row r="15" spans="2:15" x14ac:dyDescent="0.25">
      <c r="B15" s="20" t="s">
        <v>91</v>
      </c>
      <c r="C15" s="20" t="s">
        <v>75</v>
      </c>
      <c r="D15" s="20" t="s">
        <v>97</v>
      </c>
      <c r="E15" s="20" t="s">
        <v>61</v>
      </c>
      <c r="F15" s="20" t="s">
        <v>51</v>
      </c>
      <c r="G15" s="20" t="s">
        <v>106</v>
      </c>
      <c r="H15" s="36">
        <v>32942</v>
      </c>
      <c r="I15" s="20" t="s">
        <v>117</v>
      </c>
      <c r="J15" s="39" t="s">
        <v>132</v>
      </c>
      <c r="L15" s="41" t="s">
        <v>60</v>
      </c>
      <c r="M15" s="25">
        <f>COUNTIFS($E$7:$E$23000,$L15,$D$7:$D$23000,M$14)</f>
        <v>2</v>
      </c>
      <c r="N15" s="25">
        <f t="shared" ref="N15" si="0">COUNTIFS($E$7:$E$23000,$L15,$D$7:$D$23000,N$14)</f>
        <v>1</v>
      </c>
      <c r="O15" s="25">
        <f>SUM(M15:N15)</f>
        <v>3</v>
      </c>
    </row>
    <row r="16" spans="2:15" x14ac:dyDescent="0.25">
      <c r="B16" s="20" t="s">
        <v>92</v>
      </c>
      <c r="C16" s="20" t="s">
        <v>76</v>
      </c>
      <c r="D16" s="20" t="s">
        <v>97</v>
      </c>
      <c r="E16" s="20" t="s">
        <v>61</v>
      </c>
      <c r="F16" s="20" t="s">
        <v>47</v>
      </c>
      <c r="G16" s="20" t="s">
        <v>107</v>
      </c>
      <c r="H16" s="36">
        <v>40313</v>
      </c>
      <c r="I16" s="20" t="s">
        <v>118</v>
      </c>
      <c r="J16" s="39" t="s">
        <v>133</v>
      </c>
      <c r="L16" s="41" t="s">
        <v>61</v>
      </c>
      <c r="M16" s="25">
        <f t="shared" ref="M16:N17" si="1">COUNTIFS($E$7:$E$23000,$L16,$D$7:$D$23000,M$14)</f>
        <v>2</v>
      </c>
      <c r="N16" s="25">
        <f t="shared" si="1"/>
        <v>8</v>
      </c>
      <c r="O16" s="25">
        <f t="shared" ref="O16:O17" si="2">SUM(M16:N16)</f>
        <v>10</v>
      </c>
    </row>
    <row r="17" spans="2:15" x14ac:dyDescent="0.25">
      <c r="B17" s="20" t="s">
        <v>94</v>
      </c>
      <c r="C17" s="20" t="s">
        <v>78</v>
      </c>
      <c r="D17" s="20" t="s">
        <v>97</v>
      </c>
      <c r="E17" s="20" t="s">
        <v>61</v>
      </c>
      <c r="F17" s="20" t="s">
        <v>51</v>
      </c>
      <c r="G17" s="20" t="s">
        <v>109</v>
      </c>
      <c r="H17" s="36">
        <v>39974</v>
      </c>
      <c r="I17" s="20" t="s">
        <v>120</v>
      </c>
      <c r="J17" s="39" t="s">
        <v>135</v>
      </c>
      <c r="L17" s="41" t="s">
        <v>62</v>
      </c>
      <c r="M17" s="25">
        <f t="shared" si="1"/>
        <v>3</v>
      </c>
      <c r="N17" s="25">
        <f t="shared" si="1"/>
        <v>3</v>
      </c>
      <c r="O17" s="25">
        <f t="shared" si="2"/>
        <v>6</v>
      </c>
    </row>
    <row r="18" spans="2:15" x14ac:dyDescent="0.25">
      <c r="B18" s="20" t="s">
        <v>95</v>
      </c>
      <c r="C18" s="20" t="s">
        <v>79</v>
      </c>
      <c r="D18" s="20" t="s">
        <v>97</v>
      </c>
      <c r="E18" s="20" t="s">
        <v>61</v>
      </c>
      <c r="F18" s="20" t="s">
        <v>56</v>
      </c>
      <c r="G18" s="20" t="s">
        <v>110</v>
      </c>
      <c r="H18" s="36">
        <v>42140</v>
      </c>
      <c r="I18" s="20" t="s">
        <v>121</v>
      </c>
      <c r="J18" s="39" t="s">
        <v>136</v>
      </c>
      <c r="L18" s="41" t="s">
        <v>143</v>
      </c>
      <c r="M18" s="25">
        <f>SUM(M15:M17)</f>
        <v>7</v>
      </c>
      <c r="N18" s="25">
        <f t="shared" ref="N18:O18" si="3">SUM(N15:N17)</f>
        <v>12</v>
      </c>
      <c r="O18" s="25">
        <f t="shared" si="3"/>
        <v>19</v>
      </c>
    </row>
    <row r="19" spans="2:15" x14ac:dyDescent="0.25">
      <c r="B19" s="20" t="s">
        <v>145</v>
      </c>
      <c r="C19" s="20" t="s">
        <v>146</v>
      </c>
      <c r="D19" s="20" t="s">
        <v>97</v>
      </c>
      <c r="E19" s="20" t="s">
        <v>61</v>
      </c>
      <c r="F19" s="20" t="s">
        <v>47</v>
      </c>
      <c r="G19" s="20" t="s">
        <v>147</v>
      </c>
      <c r="H19" s="36" t="s">
        <v>148</v>
      </c>
      <c r="I19" s="20" t="s">
        <v>149</v>
      </c>
      <c r="J19" s="39" t="s">
        <v>150</v>
      </c>
    </row>
    <row r="20" spans="2:15" x14ac:dyDescent="0.25">
      <c r="B20" s="20" t="s">
        <v>151</v>
      </c>
      <c r="C20" s="20" t="s">
        <v>152</v>
      </c>
      <c r="D20" s="20" t="s">
        <v>97</v>
      </c>
      <c r="E20" s="20" t="s">
        <v>61</v>
      </c>
      <c r="F20" s="20" t="s">
        <v>153</v>
      </c>
      <c r="G20" s="20" t="s">
        <v>100</v>
      </c>
      <c r="H20" s="36">
        <v>36804</v>
      </c>
      <c r="I20" s="20" t="s">
        <v>154</v>
      </c>
      <c r="J20" s="39" t="s">
        <v>155</v>
      </c>
    </row>
    <row r="21" spans="2:15" x14ac:dyDescent="0.25">
      <c r="B21" s="20" t="s">
        <v>161</v>
      </c>
      <c r="C21" s="20" t="s">
        <v>162</v>
      </c>
      <c r="D21" s="20" t="s">
        <v>46</v>
      </c>
      <c r="E21" s="20" t="s">
        <v>62</v>
      </c>
      <c r="F21" s="20" t="s">
        <v>163</v>
      </c>
      <c r="G21" s="20" t="s">
        <v>164</v>
      </c>
      <c r="H21" s="36" t="s">
        <v>165</v>
      </c>
      <c r="I21" s="20" t="s">
        <v>27</v>
      </c>
      <c r="J21" s="39" t="s">
        <v>166</v>
      </c>
    </row>
    <row r="22" spans="2:15" x14ac:dyDescent="0.25">
      <c r="B22" s="20" t="s">
        <v>84</v>
      </c>
      <c r="C22" s="20" t="s">
        <v>53</v>
      </c>
      <c r="D22" s="20" t="s">
        <v>46</v>
      </c>
      <c r="E22" s="20" t="s">
        <v>62</v>
      </c>
      <c r="F22" s="20" t="s">
        <v>51</v>
      </c>
      <c r="G22" s="20" t="s">
        <v>50</v>
      </c>
      <c r="H22" s="36">
        <v>42140</v>
      </c>
      <c r="I22" s="20" t="s">
        <v>52</v>
      </c>
      <c r="J22" s="39" t="s">
        <v>126</v>
      </c>
    </row>
    <row r="23" spans="2:15" x14ac:dyDescent="0.25">
      <c r="B23" s="20" t="s">
        <v>88</v>
      </c>
      <c r="C23" s="20" t="s">
        <v>72</v>
      </c>
      <c r="D23" s="20" t="s">
        <v>97</v>
      </c>
      <c r="E23" s="20" t="s">
        <v>62</v>
      </c>
      <c r="F23" s="20" t="s">
        <v>47</v>
      </c>
      <c r="G23" s="20" t="s">
        <v>103</v>
      </c>
      <c r="H23" s="36">
        <v>42140</v>
      </c>
      <c r="I23" s="20" t="s">
        <v>114</v>
      </c>
      <c r="J23" s="39" t="s">
        <v>130</v>
      </c>
    </row>
    <row r="24" spans="2:15" x14ac:dyDescent="0.25">
      <c r="B24" s="20" t="s">
        <v>89</v>
      </c>
      <c r="C24" s="20" t="s">
        <v>73</v>
      </c>
      <c r="D24" s="20" t="s">
        <v>97</v>
      </c>
      <c r="E24" s="20" t="s">
        <v>62</v>
      </c>
      <c r="F24" s="20" t="s">
        <v>49</v>
      </c>
      <c r="G24" s="20" t="s">
        <v>104</v>
      </c>
      <c r="H24" s="36">
        <v>36610</v>
      </c>
      <c r="I24" s="20" t="s">
        <v>115</v>
      </c>
      <c r="J24" s="39" t="s">
        <v>131</v>
      </c>
    </row>
    <row r="25" spans="2:15" x14ac:dyDescent="0.25">
      <c r="B25" s="20" t="s">
        <v>96</v>
      </c>
      <c r="C25" s="20" t="s">
        <v>80</v>
      </c>
      <c r="D25" s="20" t="s">
        <v>97</v>
      </c>
      <c r="E25" s="20" t="s">
        <v>62</v>
      </c>
      <c r="F25" s="20" t="s">
        <v>98</v>
      </c>
      <c r="G25" s="20" t="s">
        <v>50</v>
      </c>
      <c r="H25" s="36">
        <v>36610</v>
      </c>
      <c r="I25" s="20" t="s">
        <v>122</v>
      </c>
      <c r="J25" s="39" t="s">
        <v>137</v>
      </c>
    </row>
    <row r="28" spans="2:15" x14ac:dyDescent="0.25">
      <c r="C28" s="50"/>
    </row>
    <row r="29" spans="2:15" x14ac:dyDescent="0.25">
      <c r="C29" s="50"/>
    </row>
    <row r="30" spans="2:15" x14ac:dyDescent="0.25">
      <c r="C30" s="50"/>
    </row>
  </sheetData>
  <sortState ref="B9:J30">
    <sortCondition ref="E8"/>
  </sortState>
  <conditionalFormatting sqref="B7:J332">
    <cfRule type="expression" dxfId="0" priority="1">
      <formula>B7&lt;&gt;""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K288"/>
  <sheetViews>
    <sheetView showGridLines="0" topLeftCell="C1" workbookViewId="0">
      <selection activeCell="O11" sqref="O11"/>
    </sheetView>
  </sheetViews>
  <sheetFormatPr defaultRowHeight="15" x14ac:dyDescent="0.25"/>
  <cols>
    <col min="1" max="1" width="16.85546875" customWidth="1"/>
    <col min="2" max="2" width="14.85546875" bestFit="1" customWidth="1"/>
    <col min="3" max="3" width="11.85546875" customWidth="1"/>
    <col min="4" max="15" width="11.7109375" customWidth="1"/>
    <col min="16" max="16" width="12" customWidth="1"/>
    <col min="17" max="17" width="12.140625" customWidth="1"/>
    <col min="18" max="18" width="3.7109375" customWidth="1"/>
    <col min="19" max="19" width="0" hidden="1" customWidth="1"/>
    <col min="20" max="20" width="3.42578125" hidden="1" customWidth="1"/>
    <col min="21" max="37" width="0" hidden="1" customWidth="1"/>
  </cols>
  <sheetData>
    <row r="2" spans="1:37" ht="16.5" thickBot="1" x14ac:dyDescent="0.3">
      <c r="A2" s="32" t="s">
        <v>68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4" spans="1:37" x14ac:dyDescent="0.25">
      <c r="A4" s="30" t="s">
        <v>58</v>
      </c>
      <c r="B4" s="30" t="s">
        <v>8</v>
      </c>
      <c r="C4" s="30" t="s">
        <v>9</v>
      </c>
      <c r="D4" s="31" t="s">
        <v>10</v>
      </c>
      <c r="E4" s="31" t="s">
        <v>11</v>
      </c>
      <c r="F4" s="31" t="s">
        <v>12</v>
      </c>
      <c r="G4" s="31" t="s">
        <v>13</v>
      </c>
      <c r="H4" s="31" t="s">
        <v>14</v>
      </c>
      <c r="I4" s="31" t="s">
        <v>15</v>
      </c>
      <c r="J4" s="31" t="s">
        <v>16</v>
      </c>
      <c r="K4" s="31" t="s">
        <v>17</v>
      </c>
      <c r="L4" s="31" t="s">
        <v>18</v>
      </c>
      <c r="M4" s="31" t="s">
        <v>19</v>
      </c>
      <c r="N4" s="31" t="s">
        <v>20</v>
      </c>
      <c r="O4" s="31" t="s">
        <v>21</v>
      </c>
      <c r="P4" s="31" t="s">
        <v>59</v>
      </c>
      <c r="Q4" s="31" t="s">
        <v>42</v>
      </c>
      <c r="S4" s="30" t="s">
        <v>9</v>
      </c>
      <c r="U4" s="30" t="s">
        <v>58</v>
      </c>
      <c r="V4" s="30" t="s">
        <v>8</v>
      </c>
      <c r="W4" s="30" t="s">
        <v>9</v>
      </c>
      <c r="X4" s="31" t="s">
        <v>10</v>
      </c>
      <c r="Y4" s="31" t="s">
        <v>11</v>
      </c>
      <c r="Z4" s="31" t="s">
        <v>12</v>
      </c>
      <c r="AA4" s="31" t="s">
        <v>13</v>
      </c>
      <c r="AB4" s="31" t="s">
        <v>14</v>
      </c>
      <c r="AC4" s="31" t="s">
        <v>15</v>
      </c>
      <c r="AD4" s="31" t="s">
        <v>16</v>
      </c>
      <c r="AE4" s="31" t="s">
        <v>17</v>
      </c>
      <c r="AF4" s="31" t="s">
        <v>18</v>
      </c>
      <c r="AG4" s="31" t="s">
        <v>19</v>
      </c>
      <c r="AH4" s="31" t="s">
        <v>20</v>
      </c>
      <c r="AI4" s="31" t="s">
        <v>21</v>
      </c>
      <c r="AJ4" s="31" t="s">
        <v>59</v>
      </c>
      <c r="AK4" s="31" t="s">
        <v>42</v>
      </c>
    </row>
    <row r="5" spans="1:37" x14ac:dyDescent="0.25">
      <c r="A5" s="20" t="s">
        <v>81</v>
      </c>
      <c r="B5" s="20" t="s">
        <v>29</v>
      </c>
      <c r="C5" s="20" t="s">
        <v>60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 t="str">
        <f t="shared" ref="P5:P68" si="0">IF(SUM(D5:O5)=0,"",SUM(D5:O5))</f>
        <v/>
      </c>
      <c r="Q5" s="23">
        <f>IFERROR(IF(SUM(D5:O5)=0,VLOOKUP(C5,DASHBOARD!$L$9:$M$11,2,0)*12,VLOOKUP(C5,DASHBOARD!$L$9:$M$11,2,0)*12-P5),"")</f>
        <v>600000</v>
      </c>
      <c r="S5" s="20"/>
      <c r="U5" s="20" t="s">
        <v>81</v>
      </c>
      <c r="V5" s="20" t="s">
        <v>29</v>
      </c>
      <c r="W5" s="20" t="s">
        <v>60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 t="s">
        <v>144</v>
      </c>
      <c r="AK5" s="23">
        <v>600000</v>
      </c>
    </row>
    <row r="6" spans="1:37" x14ac:dyDescent="0.25">
      <c r="A6" s="20" t="s">
        <v>85</v>
      </c>
      <c r="B6" s="20" t="s">
        <v>69</v>
      </c>
      <c r="C6" s="20" t="s">
        <v>60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 t="str">
        <f t="shared" si="0"/>
        <v/>
      </c>
      <c r="Q6" s="23">
        <f>IFERROR(IF(SUM(D6:O6)=0,VLOOKUP(C6,DASHBOARD!$L$9:$M$11,2,0)*12,VLOOKUP(C6,DASHBOARD!$L$9:$M$11,2,0)*12-P6),"")</f>
        <v>600000</v>
      </c>
      <c r="U6" s="20" t="s">
        <v>85</v>
      </c>
      <c r="V6" s="20" t="s">
        <v>69</v>
      </c>
      <c r="W6" s="20" t="s">
        <v>60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 t="s">
        <v>144</v>
      </c>
      <c r="AK6" s="23">
        <v>600000</v>
      </c>
    </row>
    <row r="7" spans="1:37" x14ac:dyDescent="0.25">
      <c r="A7" s="20" t="s">
        <v>90</v>
      </c>
      <c r="B7" s="20" t="s">
        <v>74</v>
      </c>
      <c r="C7" s="20" t="s">
        <v>61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 t="str">
        <f t="shared" si="0"/>
        <v/>
      </c>
      <c r="Q7" s="23">
        <f>IFERROR(IF(SUM(D7:O7)=0,VLOOKUP(C7,DASHBOARD!$L$9:$M$11,2,0)*12,VLOOKUP(C7,DASHBOARD!$L$9:$M$11,2,0)*12-P7),"")</f>
        <v>660000</v>
      </c>
      <c r="U7" s="20" t="s">
        <v>90</v>
      </c>
      <c r="V7" s="20" t="s">
        <v>74</v>
      </c>
      <c r="W7" s="20" t="s">
        <v>61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 t="s">
        <v>144</v>
      </c>
      <c r="AK7" s="23">
        <v>660000</v>
      </c>
    </row>
    <row r="8" spans="1:37" x14ac:dyDescent="0.25">
      <c r="A8" s="20" t="s">
        <v>93</v>
      </c>
      <c r="B8" s="20" t="s">
        <v>77</v>
      </c>
      <c r="C8" s="20" t="s">
        <v>60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 t="str">
        <f t="shared" si="0"/>
        <v/>
      </c>
      <c r="Q8" s="23">
        <f>IFERROR(IF(SUM(D8:O8)=0,VLOOKUP(C8,DASHBOARD!$L$9:$M$11,2,0)*12,VLOOKUP(C8,DASHBOARD!$L$9:$M$11,2,0)*12-P8),"")</f>
        <v>600000</v>
      </c>
      <c r="U8" s="20" t="s">
        <v>93</v>
      </c>
      <c r="V8" s="20" t="s">
        <v>77</v>
      </c>
      <c r="W8" s="20" t="s">
        <v>60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 t="s">
        <v>144</v>
      </c>
      <c r="AK8" s="23">
        <v>600000</v>
      </c>
    </row>
    <row r="9" spans="1:37" x14ac:dyDescent="0.25">
      <c r="A9" s="20" t="s">
        <v>83</v>
      </c>
      <c r="B9" s="20" t="s">
        <v>57</v>
      </c>
      <c r="C9" s="20" t="s">
        <v>61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 t="str">
        <f t="shared" si="0"/>
        <v/>
      </c>
      <c r="Q9" s="23">
        <f>IFERROR(IF(SUM(D9:O9)=0,VLOOKUP(C9,DASHBOARD!$L$9:$M$11,2,0)*12,VLOOKUP(C9,DASHBOARD!$L$9:$M$11,2,0)*12-P9),"")</f>
        <v>660000</v>
      </c>
      <c r="U9" s="20" t="s">
        <v>83</v>
      </c>
      <c r="V9" s="20" t="s">
        <v>57</v>
      </c>
      <c r="W9" s="20" t="s">
        <v>61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 t="s">
        <v>144</v>
      </c>
      <c r="AK9" s="23">
        <v>660000</v>
      </c>
    </row>
    <row r="10" spans="1:37" x14ac:dyDescent="0.25">
      <c r="A10" s="20" t="s">
        <v>86</v>
      </c>
      <c r="B10" s="20" t="s">
        <v>70</v>
      </c>
      <c r="C10" s="20" t="s">
        <v>61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 t="str">
        <f t="shared" si="0"/>
        <v/>
      </c>
      <c r="Q10" s="23">
        <f>IFERROR(IF(SUM(D10:O10)=0,VLOOKUP(C10,DASHBOARD!$L$9:$M$11,2,0)*12,VLOOKUP(C10,DASHBOARD!$L$9:$M$11,2,0)*12-P10),"")</f>
        <v>660000</v>
      </c>
      <c r="U10" s="20" t="s">
        <v>86</v>
      </c>
      <c r="V10" s="20" t="s">
        <v>70</v>
      </c>
      <c r="W10" s="20" t="s">
        <v>61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 t="s">
        <v>144</v>
      </c>
      <c r="AK10" s="23">
        <v>660000</v>
      </c>
    </row>
    <row r="11" spans="1:37" x14ac:dyDescent="0.25">
      <c r="A11" s="20" t="s">
        <v>87</v>
      </c>
      <c r="B11" s="20" t="s">
        <v>71</v>
      </c>
      <c r="C11" s="20" t="s">
        <v>61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 t="str">
        <f t="shared" si="0"/>
        <v/>
      </c>
      <c r="Q11" s="23">
        <f>IFERROR(IF(SUM(D11:O11)=0,VLOOKUP(C11,DASHBOARD!$L$9:$M$11,2,0)*12,VLOOKUP(C11,DASHBOARD!$L$9:$M$11,2,0)*12-P11),"")</f>
        <v>660000</v>
      </c>
      <c r="U11" s="20" t="s">
        <v>87</v>
      </c>
      <c r="V11" s="20" t="s">
        <v>71</v>
      </c>
      <c r="W11" s="20" t="s">
        <v>61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 t="s">
        <v>144</v>
      </c>
      <c r="AK11" s="23">
        <v>660000</v>
      </c>
    </row>
    <row r="12" spans="1:37" x14ac:dyDescent="0.25">
      <c r="A12" s="20" t="s">
        <v>91</v>
      </c>
      <c r="B12" s="20" t="s">
        <v>75</v>
      </c>
      <c r="C12" s="20" t="s">
        <v>61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 t="str">
        <f t="shared" si="0"/>
        <v/>
      </c>
      <c r="Q12" s="23">
        <f>IFERROR(IF(SUM(D12:O12)=0,VLOOKUP(C12,DASHBOARD!$L$9:$M$11,2,0)*12,VLOOKUP(C12,DASHBOARD!$L$9:$M$11,2,0)*12-P12),"")</f>
        <v>660000</v>
      </c>
      <c r="U12" s="20" t="s">
        <v>91</v>
      </c>
      <c r="V12" s="20" t="s">
        <v>75</v>
      </c>
      <c r="W12" s="20" t="s">
        <v>61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 t="s">
        <v>144</v>
      </c>
      <c r="AK12" s="23">
        <v>660000</v>
      </c>
    </row>
    <row r="13" spans="1:37" x14ac:dyDescent="0.25">
      <c r="A13" s="20" t="s">
        <v>92</v>
      </c>
      <c r="B13" s="20" t="s">
        <v>76</v>
      </c>
      <c r="C13" s="20" t="s">
        <v>61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 t="str">
        <f t="shared" si="0"/>
        <v/>
      </c>
      <c r="Q13" s="23">
        <f>IFERROR(IF(SUM(D13:O13)=0,VLOOKUP(C13,DASHBOARD!$L$9:$M$11,2,0)*12,VLOOKUP(C13,DASHBOARD!$L$9:$M$11,2,0)*12-P13),"")</f>
        <v>660000</v>
      </c>
      <c r="U13" s="20" t="s">
        <v>92</v>
      </c>
      <c r="V13" s="20" t="s">
        <v>76</v>
      </c>
      <c r="W13" s="20" t="s">
        <v>61</v>
      </c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 t="s">
        <v>144</v>
      </c>
      <c r="AK13" s="23">
        <v>660000</v>
      </c>
    </row>
    <row r="14" spans="1:37" x14ac:dyDescent="0.25">
      <c r="A14" s="20" t="s">
        <v>94</v>
      </c>
      <c r="B14" s="20" t="s">
        <v>78</v>
      </c>
      <c r="C14" s="20" t="s">
        <v>61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 t="str">
        <f t="shared" si="0"/>
        <v/>
      </c>
      <c r="Q14" s="23">
        <f>IFERROR(IF(SUM(D14:O14)=0,VLOOKUP(C14,DASHBOARD!$L$9:$M$11,2,0)*12,VLOOKUP(C14,DASHBOARD!$L$9:$M$11,2,0)*12-P14),"")</f>
        <v>660000</v>
      </c>
      <c r="U14" s="20" t="s">
        <v>94</v>
      </c>
      <c r="V14" s="20" t="s">
        <v>78</v>
      </c>
      <c r="W14" s="20" t="s">
        <v>61</v>
      </c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 t="s">
        <v>144</v>
      </c>
      <c r="AK14" s="23">
        <v>660000</v>
      </c>
    </row>
    <row r="15" spans="1:37" x14ac:dyDescent="0.25">
      <c r="A15" s="20" t="s">
        <v>95</v>
      </c>
      <c r="B15" s="20" t="s">
        <v>79</v>
      </c>
      <c r="C15" s="20" t="s">
        <v>61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 t="str">
        <f t="shared" si="0"/>
        <v/>
      </c>
      <c r="Q15" s="23">
        <f>IFERROR(IF(SUM(D15:O15)=0,VLOOKUP(C15,DASHBOARD!$L$9:$M$11,2,0)*12,VLOOKUP(C15,DASHBOARD!$L$9:$M$11,2,0)*12-P15),"")</f>
        <v>660000</v>
      </c>
      <c r="U15" s="20" t="s">
        <v>95</v>
      </c>
      <c r="V15" s="20" t="s">
        <v>79</v>
      </c>
      <c r="W15" s="20" t="s">
        <v>61</v>
      </c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 t="s">
        <v>144</v>
      </c>
      <c r="AK15" s="23">
        <v>660000</v>
      </c>
    </row>
    <row r="16" spans="1:37" x14ac:dyDescent="0.25">
      <c r="A16" s="20" t="s">
        <v>145</v>
      </c>
      <c r="B16" s="20" t="s">
        <v>146</v>
      </c>
      <c r="C16" s="20" t="s">
        <v>61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 t="str">
        <f t="shared" si="0"/>
        <v/>
      </c>
      <c r="Q16" s="23">
        <f>IFERROR(IF(SUM(D16:O16)=0,VLOOKUP(C16,DASHBOARD!$L$9:$M$11,2,0)*12,VLOOKUP(C16,DASHBOARD!$L$9:$M$11,2,0)*12-P16),"")</f>
        <v>660000</v>
      </c>
      <c r="U16" s="20" t="s">
        <v>145</v>
      </c>
      <c r="V16" s="20" t="s">
        <v>146</v>
      </c>
      <c r="W16" s="20" t="s">
        <v>61</v>
      </c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 t="s">
        <v>144</v>
      </c>
      <c r="AK16" s="23">
        <v>660000</v>
      </c>
    </row>
    <row r="17" spans="1:37" x14ac:dyDescent="0.25">
      <c r="A17" s="20" t="s">
        <v>151</v>
      </c>
      <c r="B17" s="20" t="s">
        <v>152</v>
      </c>
      <c r="C17" s="20" t="s">
        <v>61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 t="str">
        <f t="shared" si="0"/>
        <v/>
      </c>
      <c r="Q17" s="23">
        <f>IFERROR(IF(SUM(D17:O17)=0,VLOOKUP(C17,DASHBOARD!$L$9:$M$11,2,0)*12,VLOOKUP(C17,DASHBOARD!$L$9:$M$11,2,0)*12-P17),"")</f>
        <v>660000</v>
      </c>
      <c r="U17" s="20" t="s">
        <v>151</v>
      </c>
      <c r="V17" s="20" t="s">
        <v>152</v>
      </c>
      <c r="W17" s="20" t="s">
        <v>61</v>
      </c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 t="s">
        <v>144</v>
      </c>
      <c r="AK17" s="23">
        <v>660000</v>
      </c>
    </row>
    <row r="18" spans="1:37" x14ac:dyDescent="0.25">
      <c r="A18" s="20" t="s">
        <v>161</v>
      </c>
      <c r="B18" s="20" t="s">
        <v>162</v>
      </c>
      <c r="C18" s="20" t="s">
        <v>62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 t="str">
        <f t="shared" si="0"/>
        <v/>
      </c>
      <c r="Q18" s="23">
        <f>IFERROR(IF(SUM(D18:O18)=0,VLOOKUP(C18,DASHBOARD!$L$9:$M$11,2,0)*12,VLOOKUP(C18,DASHBOARD!$L$9:$M$11,2,0)*12-P18),"")</f>
        <v>720000</v>
      </c>
      <c r="U18" s="20" t="s">
        <v>161</v>
      </c>
      <c r="V18" s="20" t="s">
        <v>162</v>
      </c>
      <c r="W18" s="20" t="s">
        <v>62</v>
      </c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 t="s">
        <v>144</v>
      </c>
      <c r="AK18" s="23">
        <v>720000</v>
      </c>
    </row>
    <row r="19" spans="1:37" x14ac:dyDescent="0.25">
      <c r="A19" s="20" t="s">
        <v>84</v>
      </c>
      <c r="B19" s="20" t="s">
        <v>53</v>
      </c>
      <c r="C19" s="20" t="s">
        <v>62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 t="str">
        <f t="shared" si="0"/>
        <v/>
      </c>
      <c r="Q19" s="23">
        <f>IFERROR(IF(SUM(D19:O19)=0,VLOOKUP(C19,DASHBOARD!$L$9:$M$11,2,0)*12,VLOOKUP(C19,DASHBOARD!$L$9:$M$11,2,0)*12-P19),"")</f>
        <v>720000</v>
      </c>
      <c r="U19" s="20" t="s">
        <v>84</v>
      </c>
      <c r="V19" s="20" t="s">
        <v>53</v>
      </c>
      <c r="W19" s="20" t="s">
        <v>62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 t="s">
        <v>144</v>
      </c>
      <c r="AK19" s="23">
        <v>720000</v>
      </c>
    </row>
    <row r="20" spans="1:37" x14ac:dyDescent="0.25">
      <c r="A20" s="20" t="s">
        <v>167</v>
      </c>
      <c r="B20" s="20" t="s">
        <v>55</v>
      </c>
      <c r="C20" s="20" t="s">
        <v>62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 t="str">
        <f t="shared" si="0"/>
        <v/>
      </c>
      <c r="Q20" s="23">
        <f>IFERROR(IF(SUM(D20:O20)=0,VLOOKUP(C20,DASHBOARD!$L$9:$M$11,2,0)*12,VLOOKUP(C20,DASHBOARD!$L$9:$M$11,2,0)*12-P20),"")</f>
        <v>720000</v>
      </c>
      <c r="U20" s="20" t="s">
        <v>167</v>
      </c>
      <c r="V20" s="20" t="s">
        <v>55</v>
      </c>
      <c r="W20" s="20" t="s">
        <v>62</v>
      </c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 t="s">
        <v>144</v>
      </c>
      <c r="AK20" s="23">
        <v>720000</v>
      </c>
    </row>
    <row r="21" spans="1:37" x14ac:dyDescent="0.25">
      <c r="A21" s="20" t="s">
        <v>88</v>
      </c>
      <c r="B21" s="20" t="s">
        <v>72</v>
      </c>
      <c r="C21" s="20" t="s">
        <v>62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 t="str">
        <f t="shared" si="0"/>
        <v/>
      </c>
      <c r="Q21" s="23">
        <f>IFERROR(IF(SUM(D21:O21)=0,VLOOKUP(C21,DASHBOARD!$L$9:$M$11,2,0)*12,VLOOKUP(C21,DASHBOARD!$L$9:$M$11,2,0)*12-P21),"")</f>
        <v>720000</v>
      </c>
      <c r="U21" s="20" t="s">
        <v>88</v>
      </c>
      <c r="V21" s="20" t="s">
        <v>72</v>
      </c>
      <c r="W21" s="20" t="s">
        <v>62</v>
      </c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 t="s">
        <v>144</v>
      </c>
      <c r="AK21" s="23">
        <v>720000</v>
      </c>
    </row>
    <row r="22" spans="1:37" x14ac:dyDescent="0.25">
      <c r="A22" s="20" t="s">
        <v>89</v>
      </c>
      <c r="B22" s="20" t="s">
        <v>73</v>
      </c>
      <c r="C22" s="20" t="s">
        <v>62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 t="str">
        <f t="shared" si="0"/>
        <v/>
      </c>
      <c r="Q22" s="23">
        <f>IFERROR(IF(SUM(D22:O22)=0,VLOOKUP(C22,DASHBOARD!$L$9:$M$11,2,0)*12,VLOOKUP(C22,DASHBOARD!$L$9:$M$11,2,0)*12-P22),"")</f>
        <v>720000</v>
      </c>
      <c r="U22" s="20" t="s">
        <v>89</v>
      </c>
      <c r="V22" s="20" t="s">
        <v>73</v>
      </c>
      <c r="W22" s="20" t="s">
        <v>62</v>
      </c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 t="s">
        <v>144</v>
      </c>
      <c r="AK22" s="23">
        <v>720000</v>
      </c>
    </row>
    <row r="23" spans="1:37" x14ac:dyDescent="0.25">
      <c r="A23" s="20" t="s">
        <v>96</v>
      </c>
      <c r="B23" s="20" t="s">
        <v>80</v>
      </c>
      <c r="C23" s="20" t="s">
        <v>62</v>
      </c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 t="str">
        <f t="shared" si="0"/>
        <v/>
      </c>
      <c r="Q23" s="23">
        <f>IFERROR(IF(SUM(D23:O23)=0,VLOOKUP(C23,DASHBOARD!$L$9:$M$11,2,0)*12,VLOOKUP(C23,DASHBOARD!$L$9:$M$11,2,0)*12-P23),"")</f>
        <v>720000</v>
      </c>
      <c r="U23" s="20" t="s">
        <v>96</v>
      </c>
      <c r="V23" s="20" t="s">
        <v>80</v>
      </c>
      <c r="W23" s="20" t="s">
        <v>62</v>
      </c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 t="s">
        <v>144</v>
      </c>
      <c r="AK23" s="23">
        <v>720000</v>
      </c>
    </row>
    <row r="24" spans="1:37" x14ac:dyDescent="0.25">
      <c r="A24" s="20" t="s">
        <v>171</v>
      </c>
      <c r="B24" s="20" t="s">
        <v>172</v>
      </c>
      <c r="C24" s="20" t="s">
        <v>62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 t="str">
        <f t="shared" si="0"/>
        <v/>
      </c>
      <c r="Q24" s="23">
        <f>IFERROR(IF(SUM(D24:O24)=0,VLOOKUP(C24,DASHBOARD!$L$9:$M$11,2,0)*12,VLOOKUP(C24,DASHBOARD!$L$9:$M$11,2,0)*12-P24),"")</f>
        <v>720000</v>
      </c>
      <c r="U24" s="20" t="s">
        <v>171</v>
      </c>
      <c r="V24" s="20" t="s">
        <v>172</v>
      </c>
      <c r="W24" s="20" t="s">
        <v>62</v>
      </c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 t="s">
        <v>144</v>
      </c>
      <c r="AK24" s="23">
        <v>720000</v>
      </c>
    </row>
    <row r="25" spans="1:37" x14ac:dyDescent="0.25">
      <c r="A25" s="20"/>
      <c r="B25" s="20"/>
      <c r="C25" s="20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 t="str">
        <f t="shared" si="0"/>
        <v/>
      </c>
      <c r="Q25" s="23" t="str">
        <f>_xlfn.IFNA(IF(SUM(D25:O25)=0,VLOOKUP(C25,DASHBOARD!$L$9:$M$11,2,0)*12,VLOOKUP(C25,DASHBOARD!$L$9:$M$11,2,0)*12-P25),"")</f>
        <v/>
      </c>
      <c r="U25" s="20"/>
      <c r="V25" s="20"/>
      <c r="W25" s="20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 t="s">
        <v>144</v>
      </c>
      <c r="AK25" s="23" t="s">
        <v>144</v>
      </c>
    </row>
    <row r="26" spans="1:37" x14ac:dyDescent="0.25">
      <c r="A26" s="20"/>
      <c r="B26" s="20"/>
      <c r="C26" s="20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 t="str">
        <f t="shared" si="0"/>
        <v/>
      </c>
      <c r="Q26" s="23" t="str">
        <f>_xlfn.IFNA(IF(SUM(D26:O26)=0,VLOOKUP(C26,DASHBOARD!$L$9:$M$11,2,0)*12,VLOOKUP(C26,DASHBOARD!$L$9:$M$11,2,0)*12-P26),"")</f>
        <v/>
      </c>
      <c r="U26" s="20"/>
      <c r="V26" s="20"/>
      <c r="W26" s="20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 t="s">
        <v>144</v>
      </c>
      <c r="AK26" s="23" t="s">
        <v>144</v>
      </c>
    </row>
    <row r="27" spans="1:37" x14ac:dyDescent="0.25">
      <c r="A27" s="20"/>
      <c r="B27" s="20"/>
      <c r="C27" s="20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 t="str">
        <f t="shared" si="0"/>
        <v/>
      </c>
      <c r="Q27" s="23" t="str">
        <f>_xlfn.IFNA(IF(SUM(D27:O27)=0,VLOOKUP(C27,DASHBOARD!$L$9:$M$11,2,0)*12,VLOOKUP(C27,DASHBOARD!$L$9:$M$11,2,0)*12-P27),"")</f>
        <v/>
      </c>
      <c r="U27" s="20"/>
      <c r="V27" s="20"/>
      <c r="W27" s="20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 t="s">
        <v>144</v>
      </c>
      <c r="AK27" s="23" t="s">
        <v>144</v>
      </c>
    </row>
    <row r="28" spans="1:37" x14ac:dyDescent="0.25">
      <c r="A28" s="20"/>
      <c r="B28" s="20"/>
      <c r="C28" s="20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 t="str">
        <f t="shared" si="0"/>
        <v/>
      </c>
      <c r="Q28" s="23" t="str">
        <f>_xlfn.IFNA(IF(SUM(D28:O28)=0,VLOOKUP(C28,DASHBOARD!$L$9:$M$11,2,0)*12,VLOOKUP(C28,DASHBOARD!$L$9:$M$11,2,0)*12-P28),"")</f>
        <v/>
      </c>
      <c r="U28" s="20"/>
      <c r="V28" s="20"/>
      <c r="W28" s="20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 t="s">
        <v>144</v>
      </c>
      <c r="AK28" s="23" t="s">
        <v>144</v>
      </c>
    </row>
    <row r="29" spans="1:37" x14ac:dyDescent="0.25">
      <c r="A29" s="20"/>
      <c r="B29" s="20"/>
      <c r="C29" s="20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 t="str">
        <f t="shared" si="0"/>
        <v/>
      </c>
      <c r="Q29" s="23" t="str">
        <f>_xlfn.IFNA(IF(SUM(D29:O29)=0,VLOOKUP(C29,DASHBOARD!$L$9:$M$11,2,0)*12,VLOOKUP(C29,DASHBOARD!$L$9:$M$11,2,0)*12-P29),"")</f>
        <v/>
      </c>
      <c r="U29" s="20"/>
      <c r="V29" s="20"/>
      <c r="W29" s="20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 t="s">
        <v>144</v>
      </c>
      <c r="AK29" s="23" t="s">
        <v>144</v>
      </c>
    </row>
    <row r="30" spans="1:37" x14ac:dyDescent="0.25">
      <c r="A30" s="20"/>
      <c r="B30" s="20"/>
      <c r="C30" s="20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 t="str">
        <f t="shared" si="0"/>
        <v/>
      </c>
      <c r="Q30" s="23" t="str">
        <f>_xlfn.IFNA(IF(SUM(D30:O30)=0,VLOOKUP(C30,DASHBOARD!$L$9:$M$11,2,0)*12,VLOOKUP(C30,DASHBOARD!$L$9:$M$11,2,0)*12-P30),"")</f>
        <v/>
      </c>
      <c r="U30" s="20"/>
      <c r="V30" s="20"/>
      <c r="W30" s="20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 t="s">
        <v>144</v>
      </c>
      <c r="AK30" s="23" t="s">
        <v>144</v>
      </c>
    </row>
    <row r="31" spans="1:37" x14ac:dyDescent="0.25">
      <c r="A31" s="20"/>
      <c r="B31" s="20"/>
      <c r="C31" s="20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 t="str">
        <f t="shared" si="0"/>
        <v/>
      </c>
      <c r="Q31" s="23" t="str">
        <f>_xlfn.IFNA(IF(SUM(D31:O31)=0,VLOOKUP(C31,DASHBOARD!$L$9:$M$11,2,0)*12,VLOOKUP(C31,DASHBOARD!$L$9:$M$11,2,0)*12-P31),"")</f>
        <v/>
      </c>
      <c r="U31" s="20"/>
      <c r="V31" s="20"/>
      <c r="W31" s="20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 t="s">
        <v>144</v>
      </c>
      <c r="AK31" s="23" t="s">
        <v>144</v>
      </c>
    </row>
    <row r="32" spans="1:37" x14ac:dyDescent="0.25">
      <c r="A32" s="20"/>
      <c r="B32" s="20"/>
      <c r="C32" s="20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 t="str">
        <f t="shared" si="0"/>
        <v/>
      </c>
      <c r="Q32" s="23" t="str">
        <f>_xlfn.IFNA(IF(SUM(D32:O32)=0,VLOOKUP(C32,DASHBOARD!$L$9:$M$11,2,0)*12,VLOOKUP(C32,DASHBOARD!$L$9:$M$11,2,0)*12-P32),"")</f>
        <v/>
      </c>
      <c r="U32" s="20"/>
      <c r="V32" s="20"/>
      <c r="W32" s="20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 t="s">
        <v>144</v>
      </c>
      <c r="AK32" s="23" t="s">
        <v>144</v>
      </c>
    </row>
    <row r="33" spans="1:37" x14ac:dyDescent="0.25">
      <c r="A33" s="20"/>
      <c r="B33" s="20"/>
      <c r="C33" s="20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 t="str">
        <f t="shared" si="0"/>
        <v/>
      </c>
      <c r="Q33" s="23" t="str">
        <f>_xlfn.IFNA(IF(SUM(D33:O33)=0,VLOOKUP(C33,DASHBOARD!$L$9:$M$11,2,0)*12,VLOOKUP(C33,DASHBOARD!$L$9:$M$11,2,0)*12-P33),"")</f>
        <v/>
      </c>
      <c r="U33" s="20"/>
      <c r="V33" s="20"/>
      <c r="W33" s="20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 t="s">
        <v>144</v>
      </c>
      <c r="AK33" s="23" t="s">
        <v>144</v>
      </c>
    </row>
    <row r="34" spans="1:37" x14ac:dyDescent="0.25">
      <c r="A34" s="20"/>
      <c r="B34" s="20"/>
      <c r="C34" s="20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 t="str">
        <f t="shared" si="0"/>
        <v/>
      </c>
      <c r="Q34" s="23" t="str">
        <f>_xlfn.IFNA(IF(SUM(D34:O34)=0,VLOOKUP(C34,DASHBOARD!$L$9:$M$11,2,0)*12,VLOOKUP(C34,DASHBOARD!$L$9:$M$11,2,0)*12-P34),"")</f>
        <v/>
      </c>
      <c r="U34" s="20"/>
      <c r="V34" s="20"/>
      <c r="W34" s="20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 t="s">
        <v>144</v>
      </c>
      <c r="AK34" s="23" t="s">
        <v>144</v>
      </c>
    </row>
    <row r="35" spans="1:37" x14ac:dyDescent="0.25">
      <c r="A35" s="20"/>
      <c r="B35" s="20"/>
      <c r="C35" s="20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 t="str">
        <f t="shared" si="0"/>
        <v/>
      </c>
      <c r="Q35" s="23" t="str">
        <f>_xlfn.IFNA(IF(SUM(D35:O35)=0,VLOOKUP(C35,DASHBOARD!$L$9:$M$11,2,0)*12,VLOOKUP(C35,DASHBOARD!$L$9:$M$11,2,0)*12-P35),"")</f>
        <v/>
      </c>
      <c r="U35" s="20"/>
      <c r="V35" s="20"/>
      <c r="W35" s="20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 t="s">
        <v>144</v>
      </c>
      <c r="AK35" s="23" t="s">
        <v>144</v>
      </c>
    </row>
    <row r="36" spans="1:37" x14ac:dyDescent="0.25">
      <c r="A36" s="20"/>
      <c r="B36" s="20"/>
      <c r="C36" s="20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 t="str">
        <f t="shared" si="0"/>
        <v/>
      </c>
      <c r="Q36" s="23" t="str">
        <f>_xlfn.IFNA(IF(SUM(D36:O36)=0,VLOOKUP(C36,DASHBOARD!$L$9:$M$11,2,0)*12,VLOOKUP(C36,DASHBOARD!$L$9:$M$11,2,0)*12-P36),"")</f>
        <v/>
      </c>
      <c r="U36" s="20"/>
      <c r="V36" s="20"/>
      <c r="W36" s="20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 t="s">
        <v>144</v>
      </c>
      <c r="AK36" s="23" t="s">
        <v>144</v>
      </c>
    </row>
    <row r="37" spans="1:37" x14ac:dyDescent="0.25">
      <c r="A37" s="20"/>
      <c r="B37" s="20"/>
      <c r="C37" s="20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 t="str">
        <f t="shared" si="0"/>
        <v/>
      </c>
      <c r="Q37" s="23" t="str">
        <f>_xlfn.IFNA(IF(SUM(D37:O37)=0,VLOOKUP(C37,DASHBOARD!$L$9:$M$11,2,0)*12,VLOOKUP(C37,DASHBOARD!$L$9:$M$11,2,0)*12-P37),"")</f>
        <v/>
      </c>
      <c r="U37" s="20"/>
      <c r="V37" s="20"/>
      <c r="W37" s="20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 t="s">
        <v>144</v>
      </c>
      <c r="AK37" s="23" t="s">
        <v>144</v>
      </c>
    </row>
    <row r="38" spans="1:37" x14ac:dyDescent="0.25">
      <c r="A38" s="20"/>
      <c r="B38" s="20"/>
      <c r="C38" s="2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 t="str">
        <f t="shared" si="0"/>
        <v/>
      </c>
      <c r="Q38" s="23" t="str">
        <f>_xlfn.IFNA(IF(SUM(D38:O38)=0,VLOOKUP(C38,DASHBOARD!$L$9:$M$11,2,0)*12,VLOOKUP(C38,DASHBOARD!$L$9:$M$11,2,0)*12-P38),"")</f>
        <v/>
      </c>
      <c r="U38" s="20"/>
      <c r="V38" s="20"/>
      <c r="W38" s="20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 t="s">
        <v>144</v>
      </c>
      <c r="AK38" s="23" t="s">
        <v>144</v>
      </c>
    </row>
    <row r="39" spans="1:37" x14ac:dyDescent="0.25">
      <c r="A39" s="20"/>
      <c r="B39" s="20"/>
      <c r="C39" s="20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 t="str">
        <f t="shared" si="0"/>
        <v/>
      </c>
      <c r="Q39" s="23" t="str">
        <f>_xlfn.IFNA(IF(SUM(D39:O39)=0,VLOOKUP(C39,DASHBOARD!$L$9:$M$11,2,0)*12,VLOOKUP(C39,DASHBOARD!$L$9:$M$11,2,0)*12-P39),"")</f>
        <v/>
      </c>
      <c r="U39" s="20"/>
      <c r="V39" s="20"/>
      <c r="W39" s="20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 t="s">
        <v>144</v>
      </c>
      <c r="AK39" s="23" t="s">
        <v>144</v>
      </c>
    </row>
    <row r="40" spans="1:37" x14ac:dyDescent="0.25">
      <c r="A40" s="20"/>
      <c r="B40" s="20"/>
      <c r="C40" s="20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 t="str">
        <f t="shared" si="0"/>
        <v/>
      </c>
      <c r="Q40" s="23" t="str">
        <f>_xlfn.IFNA(IF(SUM(D40:O40)=0,VLOOKUP(C40,DASHBOARD!$L$9:$M$11,2,0)*12,VLOOKUP(C40,DASHBOARD!$L$9:$M$11,2,0)*12-P40),"")</f>
        <v/>
      </c>
      <c r="U40" s="20"/>
      <c r="V40" s="20"/>
      <c r="W40" s="20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 t="s">
        <v>144</v>
      </c>
      <c r="AK40" s="23" t="s">
        <v>144</v>
      </c>
    </row>
    <row r="41" spans="1:37" x14ac:dyDescent="0.25">
      <c r="A41" s="20"/>
      <c r="B41" s="20"/>
      <c r="C41" s="20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 t="str">
        <f t="shared" si="0"/>
        <v/>
      </c>
      <c r="Q41" s="23" t="str">
        <f>_xlfn.IFNA(IF(SUM(D41:O41)=0,VLOOKUP(C41,DASHBOARD!$L$9:$M$11,2,0)*12,VLOOKUP(C41,DASHBOARD!$L$9:$M$11,2,0)*12-P41),"")</f>
        <v/>
      </c>
      <c r="U41" s="20"/>
      <c r="V41" s="20"/>
      <c r="W41" s="20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 t="s">
        <v>144</v>
      </c>
      <c r="AK41" s="23" t="s">
        <v>144</v>
      </c>
    </row>
    <row r="42" spans="1:37" x14ac:dyDescent="0.25">
      <c r="A42" s="20"/>
      <c r="B42" s="20"/>
      <c r="C42" s="20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 t="str">
        <f t="shared" si="0"/>
        <v/>
      </c>
      <c r="Q42" s="23" t="str">
        <f>_xlfn.IFNA(IF(SUM(D42:O42)=0,VLOOKUP(C42,DASHBOARD!$L$9:$M$11,2,0)*12,VLOOKUP(C42,DASHBOARD!$L$9:$M$11,2,0)*12-P42),"")</f>
        <v/>
      </c>
      <c r="U42" s="20"/>
      <c r="V42" s="20"/>
      <c r="W42" s="20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 t="s">
        <v>144</v>
      </c>
      <c r="AK42" s="23" t="s">
        <v>144</v>
      </c>
    </row>
    <row r="43" spans="1:37" x14ac:dyDescent="0.25">
      <c r="A43" s="20"/>
      <c r="B43" s="20"/>
      <c r="C43" s="20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 t="str">
        <f t="shared" si="0"/>
        <v/>
      </c>
      <c r="Q43" s="23" t="str">
        <f>_xlfn.IFNA(IF(SUM(D43:O43)=0,VLOOKUP(C43,DASHBOARD!$L$9:$M$11,2,0)*12,VLOOKUP(C43,DASHBOARD!$L$9:$M$11,2,0)*12-P43),"")</f>
        <v/>
      </c>
      <c r="U43" s="20"/>
      <c r="V43" s="20"/>
      <c r="W43" s="20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 t="s">
        <v>144</v>
      </c>
      <c r="AK43" s="23" t="s">
        <v>144</v>
      </c>
    </row>
    <row r="44" spans="1:37" x14ac:dyDescent="0.25">
      <c r="A44" s="20"/>
      <c r="B44" s="20"/>
      <c r="C44" s="20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 t="str">
        <f t="shared" si="0"/>
        <v/>
      </c>
      <c r="Q44" s="23" t="str">
        <f>_xlfn.IFNA(IF(SUM(D44:O44)=0,VLOOKUP(C44,DASHBOARD!$L$9:$M$11,2,0)*12,VLOOKUP(C44,DASHBOARD!$L$9:$M$11,2,0)*12-P44),"")</f>
        <v/>
      </c>
      <c r="U44" s="20"/>
      <c r="V44" s="20"/>
      <c r="W44" s="20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 t="s">
        <v>144</v>
      </c>
      <c r="AK44" s="23" t="s">
        <v>144</v>
      </c>
    </row>
    <row r="45" spans="1:37" x14ac:dyDescent="0.25">
      <c r="A45" s="20"/>
      <c r="B45" s="20"/>
      <c r="C45" s="20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 t="str">
        <f t="shared" si="0"/>
        <v/>
      </c>
      <c r="Q45" s="23" t="str">
        <f>_xlfn.IFNA(IF(SUM(D45:O45)=0,VLOOKUP(C45,DASHBOARD!$L$9:$M$11,2,0)*12,VLOOKUP(C45,DASHBOARD!$L$9:$M$11,2,0)*12-P45),"")</f>
        <v/>
      </c>
      <c r="U45" s="20"/>
      <c r="V45" s="20"/>
      <c r="W45" s="20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 t="s">
        <v>144</v>
      </c>
      <c r="AK45" s="23" t="s">
        <v>144</v>
      </c>
    </row>
    <row r="46" spans="1:37" x14ac:dyDescent="0.25">
      <c r="A46" s="20"/>
      <c r="B46" s="20"/>
      <c r="C46" s="20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 t="str">
        <f t="shared" si="0"/>
        <v/>
      </c>
      <c r="Q46" s="23" t="str">
        <f>_xlfn.IFNA(IF(SUM(D46:O46)=0,VLOOKUP(C46,DASHBOARD!$L$9:$M$11,2,0)*12,VLOOKUP(C46,DASHBOARD!$L$9:$M$11,2,0)*12-P46),"")</f>
        <v/>
      </c>
      <c r="U46" s="20"/>
      <c r="V46" s="20"/>
      <c r="W46" s="20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 t="s">
        <v>144</v>
      </c>
      <c r="AK46" s="23" t="s">
        <v>144</v>
      </c>
    </row>
    <row r="47" spans="1:37" x14ac:dyDescent="0.25">
      <c r="A47" s="20"/>
      <c r="B47" s="20"/>
      <c r="C47" s="20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 t="str">
        <f t="shared" si="0"/>
        <v/>
      </c>
      <c r="Q47" s="23" t="str">
        <f>_xlfn.IFNA(IF(SUM(D47:O47)=0,VLOOKUP(C47,DASHBOARD!$L$9:$M$11,2,0)*12,VLOOKUP(C47,DASHBOARD!$L$9:$M$11,2,0)*12-P47),"")</f>
        <v/>
      </c>
      <c r="U47" s="20"/>
      <c r="V47" s="20"/>
      <c r="W47" s="20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 t="s">
        <v>144</v>
      </c>
      <c r="AK47" s="23" t="s">
        <v>144</v>
      </c>
    </row>
    <row r="48" spans="1:37" x14ac:dyDescent="0.25">
      <c r="A48" s="20"/>
      <c r="B48" s="20"/>
      <c r="C48" s="20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 t="str">
        <f t="shared" si="0"/>
        <v/>
      </c>
      <c r="Q48" s="23" t="str">
        <f>_xlfn.IFNA(IF(SUM(D48:O48)=0,VLOOKUP(C48,DASHBOARD!$L$9:$M$11,2,0)*12,VLOOKUP(C48,DASHBOARD!$L$9:$M$11,2,0)*12-P48),"")</f>
        <v/>
      </c>
      <c r="U48" s="20"/>
      <c r="V48" s="20"/>
      <c r="W48" s="20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 t="s">
        <v>144</v>
      </c>
      <c r="AK48" s="23" t="s">
        <v>144</v>
      </c>
    </row>
    <row r="49" spans="1:37" x14ac:dyDescent="0.25">
      <c r="A49" s="20"/>
      <c r="B49" s="20"/>
      <c r="C49" s="20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 t="str">
        <f t="shared" si="0"/>
        <v/>
      </c>
      <c r="Q49" s="23" t="str">
        <f>_xlfn.IFNA(IF(SUM(D49:O49)=0,VLOOKUP(C49,DASHBOARD!$L$9:$M$11,2,0)*12,VLOOKUP(C49,DASHBOARD!$L$9:$M$11,2,0)*12-P49),"")</f>
        <v/>
      </c>
      <c r="U49" s="20"/>
      <c r="V49" s="20"/>
      <c r="W49" s="20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 t="s">
        <v>144</v>
      </c>
      <c r="AK49" s="23" t="s">
        <v>144</v>
      </c>
    </row>
    <row r="50" spans="1:37" x14ac:dyDescent="0.25">
      <c r="A50" s="20"/>
      <c r="B50" s="20"/>
      <c r="C50" s="20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 t="str">
        <f t="shared" si="0"/>
        <v/>
      </c>
      <c r="Q50" s="23" t="str">
        <f>_xlfn.IFNA(IF(SUM(D50:O50)=0,VLOOKUP(C50,DASHBOARD!$L$9:$M$11,2,0)*12,VLOOKUP(C50,DASHBOARD!$L$9:$M$11,2,0)*12-P50),"")</f>
        <v/>
      </c>
      <c r="U50" s="20"/>
      <c r="V50" s="20"/>
      <c r="W50" s="20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 t="s">
        <v>144</v>
      </c>
      <c r="AK50" s="23" t="s">
        <v>144</v>
      </c>
    </row>
    <row r="51" spans="1:37" x14ac:dyDescent="0.25">
      <c r="A51" s="20"/>
      <c r="B51" s="20"/>
      <c r="C51" s="20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 t="str">
        <f t="shared" si="0"/>
        <v/>
      </c>
      <c r="Q51" s="23" t="str">
        <f>_xlfn.IFNA(IF(SUM(D51:O51)=0,VLOOKUP(C51,DASHBOARD!$L$9:$M$11,2,0)*12,VLOOKUP(C51,DASHBOARD!$L$9:$M$11,2,0)*12-P51),"")</f>
        <v/>
      </c>
      <c r="U51" s="20"/>
      <c r="V51" s="20"/>
      <c r="W51" s="20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 t="s">
        <v>144</v>
      </c>
      <c r="AK51" s="23" t="s">
        <v>144</v>
      </c>
    </row>
    <row r="52" spans="1:37" x14ac:dyDescent="0.25">
      <c r="A52" s="20"/>
      <c r="B52" s="20"/>
      <c r="C52" s="20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 t="str">
        <f t="shared" si="0"/>
        <v/>
      </c>
      <c r="Q52" s="23" t="str">
        <f>_xlfn.IFNA(IF(SUM(D52:O52)=0,VLOOKUP(C52,DASHBOARD!$L$9:$M$11,2,0)*12,VLOOKUP(C52,DASHBOARD!$L$9:$M$11,2,0)*12-P52),"")</f>
        <v/>
      </c>
      <c r="U52" s="20"/>
      <c r="V52" s="20"/>
      <c r="W52" s="20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 t="s">
        <v>144</v>
      </c>
      <c r="AK52" s="23" t="s">
        <v>144</v>
      </c>
    </row>
    <row r="53" spans="1:37" x14ac:dyDescent="0.25">
      <c r="A53" s="20"/>
      <c r="B53" s="20"/>
      <c r="C53" s="20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 t="str">
        <f t="shared" si="0"/>
        <v/>
      </c>
      <c r="Q53" s="23" t="str">
        <f>_xlfn.IFNA(IF(SUM(D53:O53)=0,VLOOKUP(C53,DASHBOARD!$L$9:$M$11,2,0)*12,VLOOKUP(C53,DASHBOARD!$L$9:$M$11,2,0)*12-P53),"")</f>
        <v/>
      </c>
      <c r="U53" s="20"/>
      <c r="V53" s="20"/>
      <c r="W53" s="20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 t="s">
        <v>144</v>
      </c>
      <c r="AK53" s="23" t="s">
        <v>144</v>
      </c>
    </row>
    <row r="54" spans="1:37" x14ac:dyDescent="0.25">
      <c r="A54" s="20"/>
      <c r="B54" s="20"/>
      <c r="C54" s="20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 t="str">
        <f t="shared" si="0"/>
        <v/>
      </c>
      <c r="Q54" s="23" t="str">
        <f>_xlfn.IFNA(IF(SUM(D54:O54)=0,VLOOKUP(C54,DASHBOARD!$L$9:$M$11,2,0)*12,VLOOKUP(C54,DASHBOARD!$L$9:$M$11,2,0)*12-P54),"")</f>
        <v/>
      </c>
      <c r="U54" s="20"/>
      <c r="V54" s="20"/>
      <c r="W54" s="20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 t="s">
        <v>144</v>
      </c>
      <c r="AK54" s="23" t="s">
        <v>144</v>
      </c>
    </row>
    <row r="55" spans="1:37" x14ac:dyDescent="0.25">
      <c r="A55" s="20"/>
      <c r="B55" s="20"/>
      <c r="C55" s="20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 t="str">
        <f t="shared" si="0"/>
        <v/>
      </c>
      <c r="Q55" s="23" t="str">
        <f>_xlfn.IFNA(IF(SUM(D55:O55)=0,VLOOKUP(C55,DASHBOARD!$L$9:$M$11,2,0)*12,VLOOKUP(C55,DASHBOARD!$L$9:$M$11,2,0)*12-P55),"")</f>
        <v/>
      </c>
      <c r="U55" s="20"/>
      <c r="V55" s="20"/>
      <c r="W55" s="20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 t="s">
        <v>144</v>
      </c>
      <c r="AK55" s="23" t="s">
        <v>144</v>
      </c>
    </row>
    <row r="56" spans="1:37" x14ac:dyDescent="0.25">
      <c r="A56" s="20"/>
      <c r="B56" s="20"/>
      <c r="C56" s="20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 t="str">
        <f t="shared" si="0"/>
        <v/>
      </c>
      <c r="Q56" s="23" t="str">
        <f>_xlfn.IFNA(IF(SUM(D56:O56)=0,VLOOKUP(C56,DASHBOARD!$L$9:$M$11,2,0)*12,VLOOKUP(C56,DASHBOARD!$L$9:$M$11,2,0)*12-P56),"")</f>
        <v/>
      </c>
      <c r="U56" s="20"/>
      <c r="V56" s="20"/>
      <c r="W56" s="20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 t="s">
        <v>144</v>
      </c>
      <c r="AK56" s="23" t="s">
        <v>144</v>
      </c>
    </row>
    <row r="57" spans="1:37" x14ac:dyDescent="0.25">
      <c r="A57" s="20"/>
      <c r="B57" s="20"/>
      <c r="C57" s="20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 t="str">
        <f t="shared" si="0"/>
        <v/>
      </c>
      <c r="Q57" s="23" t="str">
        <f>_xlfn.IFNA(IF(SUM(D57:O57)=0,VLOOKUP(C57,DASHBOARD!$L$9:$M$11,2,0)*12,VLOOKUP(C57,DASHBOARD!$L$9:$M$11,2,0)*12-P57),"")</f>
        <v/>
      </c>
      <c r="U57" s="20"/>
      <c r="V57" s="20"/>
      <c r="W57" s="20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 t="s">
        <v>144</v>
      </c>
      <c r="AK57" s="23" t="s">
        <v>144</v>
      </c>
    </row>
    <row r="58" spans="1:37" x14ac:dyDescent="0.25">
      <c r="A58" s="20"/>
      <c r="B58" s="20"/>
      <c r="C58" s="20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 t="str">
        <f t="shared" si="0"/>
        <v/>
      </c>
      <c r="Q58" s="23" t="str">
        <f>_xlfn.IFNA(IF(SUM(D58:O58)=0,VLOOKUP(C58,DASHBOARD!$L$9:$M$11,2,0)*12,VLOOKUP(C58,DASHBOARD!$L$9:$M$11,2,0)*12-P58),"")</f>
        <v/>
      </c>
      <c r="U58" s="20"/>
      <c r="V58" s="20"/>
      <c r="W58" s="20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 t="s">
        <v>144</v>
      </c>
      <c r="AK58" s="23" t="s">
        <v>144</v>
      </c>
    </row>
    <row r="59" spans="1:37" x14ac:dyDescent="0.25">
      <c r="A59" s="20"/>
      <c r="B59" s="20"/>
      <c r="C59" s="20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 t="str">
        <f t="shared" si="0"/>
        <v/>
      </c>
      <c r="Q59" s="23" t="str">
        <f>_xlfn.IFNA(IF(SUM(D59:O59)=0,VLOOKUP(C59,DASHBOARD!$L$9:$M$11,2,0)*12,VLOOKUP(C59,DASHBOARD!$L$9:$M$11,2,0)*12-P59),"")</f>
        <v/>
      </c>
      <c r="U59" s="20"/>
      <c r="V59" s="20"/>
      <c r="W59" s="20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 t="s">
        <v>144</v>
      </c>
      <c r="AK59" s="23" t="s">
        <v>144</v>
      </c>
    </row>
    <row r="60" spans="1:37" x14ac:dyDescent="0.25">
      <c r="A60" s="20"/>
      <c r="B60" s="20"/>
      <c r="C60" s="20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 t="str">
        <f t="shared" si="0"/>
        <v/>
      </c>
      <c r="Q60" s="23" t="str">
        <f>_xlfn.IFNA(IF(SUM(D60:O60)=0,VLOOKUP(C60,DASHBOARD!$L$9:$M$11,2,0)*12,VLOOKUP(C60,DASHBOARD!$L$9:$M$11,2,0)*12-P60),"")</f>
        <v/>
      </c>
      <c r="U60" s="20"/>
      <c r="V60" s="20"/>
      <c r="W60" s="20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 t="s">
        <v>144</v>
      </c>
      <c r="AK60" s="23" t="s">
        <v>144</v>
      </c>
    </row>
    <row r="61" spans="1:37" x14ac:dyDescent="0.25">
      <c r="A61" s="20"/>
      <c r="B61" s="20"/>
      <c r="C61" s="20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 t="str">
        <f t="shared" si="0"/>
        <v/>
      </c>
      <c r="Q61" s="23" t="str">
        <f>_xlfn.IFNA(IF(SUM(D61:O61)=0,VLOOKUP(C61,DASHBOARD!$L$9:$M$11,2,0)*12,VLOOKUP(C61,DASHBOARD!$L$9:$M$11,2,0)*12-P61),"")</f>
        <v/>
      </c>
      <c r="U61" s="20"/>
      <c r="V61" s="20"/>
      <c r="W61" s="20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 t="s">
        <v>144</v>
      </c>
      <c r="AK61" s="23" t="s">
        <v>144</v>
      </c>
    </row>
    <row r="62" spans="1:37" x14ac:dyDescent="0.25">
      <c r="A62" s="20"/>
      <c r="B62" s="20"/>
      <c r="C62" s="20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 t="str">
        <f t="shared" si="0"/>
        <v/>
      </c>
      <c r="Q62" s="23" t="str">
        <f>_xlfn.IFNA(IF(SUM(D62:O62)=0,VLOOKUP(C62,DASHBOARD!$L$9:$M$11,2,0)*12,VLOOKUP(C62,DASHBOARD!$L$9:$M$11,2,0)*12-P62),"")</f>
        <v/>
      </c>
      <c r="U62" s="20"/>
      <c r="V62" s="20"/>
      <c r="W62" s="20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 t="s">
        <v>144</v>
      </c>
      <c r="AK62" s="23" t="s">
        <v>144</v>
      </c>
    </row>
    <row r="63" spans="1:37" x14ac:dyDescent="0.25">
      <c r="A63" s="20"/>
      <c r="B63" s="20"/>
      <c r="C63" s="20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 t="str">
        <f t="shared" si="0"/>
        <v/>
      </c>
      <c r="Q63" s="23" t="str">
        <f>_xlfn.IFNA(IF(SUM(D63:O63)=0,VLOOKUP(C63,DASHBOARD!$L$9:$M$11,2,0)*12,VLOOKUP(C63,DASHBOARD!$L$9:$M$11,2,0)*12-P63),"")</f>
        <v/>
      </c>
      <c r="U63" s="20"/>
      <c r="V63" s="20"/>
      <c r="W63" s="20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 t="s">
        <v>144</v>
      </c>
      <c r="AK63" s="23" t="s">
        <v>144</v>
      </c>
    </row>
    <row r="64" spans="1:37" x14ac:dyDescent="0.25">
      <c r="A64" s="20"/>
      <c r="B64" s="20"/>
      <c r="C64" s="20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 t="str">
        <f t="shared" si="0"/>
        <v/>
      </c>
      <c r="Q64" s="23" t="str">
        <f>_xlfn.IFNA(IF(SUM(D64:O64)=0,VLOOKUP(C64,DASHBOARD!$L$9:$M$11,2,0)*12,VLOOKUP(C64,DASHBOARD!$L$9:$M$11,2,0)*12-P64),"")</f>
        <v/>
      </c>
      <c r="U64" s="20"/>
      <c r="V64" s="20"/>
      <c r="W64" s="20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 t="s">
        <v>144</v>
      </c>
      <c r="AK64" s="23" t="s">
        <v>144</v>
      </c>
    </row>
    <row r="65" spans="1:37" x14ac:dyDescent="0.25">
      <c r="A65" s="20"/>
      <c r="B65" s="20"/>
      <c r="C65" s="20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 t="str">
        <f t="shared" si="0"/>
        <v/>
      </c>
      <c r="Q65" s="23" t="str">
        <f>_xlfn.IFNA(IF(SUM(D65:O65)=0,VLOOKUP(C65,DASHBOARD!$L$9:$M$11,2,0)*12,VLOOKUP(C65,DASHBOARD!$L$9:$M$11,2,0)*12-P65),"")</f>
        <v/>
      </c>
      <c r="U65" s="20"/>
      <c r="V65" s="20"/>
      <c r="W65" s="20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 t="s">
        <v>144</v>
      </c>
      <c r="AK65" s="23" t="s">
        <v>144</v>
      </c>
    </row>
    <row r="66" spans="1:37" x14ac:dyDescent="0.25">
      <c r="A66" s="20"/>
      <c r="B66" s="20"/>
      <c r="C66" s="20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 t="str">
        <f t="shared" si="0"/>
        <v/>
      </c>
      <c r="Q66" s="23" t="str">
        <f>_xlfn.IFNA(IF(SUM(D66:O66)=0,VLOOKUP(C66,DASHBOARD!$L$9:$M$11,2,0)*12,VLOOKUP(C66,DASHBOARD!$L$9:$M$11,2,0)*12-P66),"")</f>
        <v/>
      </c>
      <c r="U66" s="20"/>
      <c r="V66" s="20"/>
      <c r="W66" s="20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 t="s">
        <v>144</v>
      </c>
      <c r="AK66" s="23" t="s">
        <v>144</v>
      </c>
    </row>
    <row r="67" spans="1:37" x14ac:dyDescent="0.25">
      <c r="A67" s="20"/>
      <c r="B67" s="20"/>
      <c r="C67" s="20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 t="str">
        <f t="shared" si="0"/>
        <v/>
      </c>
      <c r="Q67" s="23" t="str">
        <f>_xlfn.IFNA(IF(SUM(D67:O67)=0,VLOOKUP(C67,DASHBOARD!$L$9:$M$11,2,0)*12,VLOOKUP(C67,DASHBOARD!$L$9:$M$11,2,0)*12-P67),"")</f>
        <v/>
      </c>
      <c r="U67" s="20"/>
      <c r="V67" s="20"/>
      <c r="W67" s="20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 t="s">
        <v>144</v>
      </c>
      <c r="AK67" s="23" t="s">
        <v>144</v>
      </c>
    </row>
    <row r="68" spans="1:37" x14ac:dyDescent="0.25">
      <c r="A68" s="20"/>
      <c r="B68" s="20"/>
      <c r="C68" s="20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 t="str">
        <f t="shared" si="0"/>
        <v/>
      </c>
      <c r="Q68" s="23" t="str">
        <f>_xlfn.IFNA(IF(SUM(D68:O68)=0,VLOOKUP(C68,DASHBOARD!$L$9:$M$11,2,0)*12,VLOOKUP(C68,DASHBOARD!$L$9:$M$11,2,0)*12-P68),"")</f>
        <v/>
      </c>
      <c r="U68" s="20"/>
      <c r="V68" s="20"/>
      <c r="W68" s="20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 t="s">
        <v>144</v>
      </c>
      <c r="AK68" s="23" t="s">
        <v>144</v>
      </c>
    </row>
    <row r="69" spans="1:37" x14ac:dyDescent="0.25">
      <c r="A69" s="20"/>
      <c r="B69" s="20"/>
      <c r="C69" s="20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 t="str">
        <f t="shared" ref="P69:P132" si="1">IF(SUM(D69:O69)=0,"",SUM(D69:O69))</f>
        <v/>
      </c>
      <c r="Q69" s="23" t="str">
        <f>_xlfn.IFNA(IF(SUM(D69:O69)=0,VLOOKUP(C69,DASHBOARD!$L$9:$M$11,2,0)*12,VLOOKUP(C69,DASHBOARD!$L$9:$M$11,2,0)*12-P69),"")</f>
        <v/>
      </c>
      <c r="U69" s="20"/>
      <c r="V69" s="20"/>
      <c r="W69" s="20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 t="s">
        <v>144</v>
      </c>
      <c r="AK69" s="23" t="s">
        <v>144</v>
      </c>
    </row>
    <row r="70" spans="1:37" x14ac:dyDescent="0.25">
      <c r="A70" s="20"/>
      <c r="B70" s="20"/>
      <c r="C70" s="20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 t="str">
        <f t="shared" si="1"/>
        <v/>
      </c>
      <c r="Q70" s="23" t="str">
        <f>_xlfn.IFNA(IF(SUM(D70:O70)=0,VLOOKUP(C70,DASHBOARD!$L$9:$M$11,2,0)*12,VLOOKUP(C70,DASHBOARD!$L$9:$M$11,2,0)*12-P70),"")</f>
        <v/>
      </c>
      <c r="U70" s="20"/>
      <c r="V70" s="20"/>
      <c r="W70" s="20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 t="s">
        <v>144</v>
      </c>
      <c r="AK70" s="23" t="s">
        <v>144</v>
      </c>
    </row>
    <row r="71" spans="1:37" x14ac:dyDescent="0.25">
      <c r="A71" s="20"/>
      <c r="B71" s="20"/>
      <c r="C71" s="20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 t="str">
        <f t="shared" si="1"/>
        <v/>
      </c>
      <c r="Q71" s="23" t="str">
        <f>_xlfn.IFNA(IF(SUM(D71:O71)=0,VLOOKUP(C71,DASHBOARD!$L$9:$M$11,2,0)*12,VLOOKUP(C71,DASHBOARD!$L$9:$M$11,2,0)*12-P71),"")</f>
        <v/>
      </c>
      <c r="U71" s="20"/>
      <c r="V71" s="20"/>
      <c r="W71" s="20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 t="s">
        <v>144</v>
      </c>
      <c r="AK71" s="23" t="s">
        <v>144</v>
      </c>
    </row>
    <row r="72" spans="1:37" x14ac:dyDescent="0.25">
      <c r="A72" s="20"/>
      <c r="B72" s="20"/>
      <c r="C72" s="20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 t="str">
        <f t="shared" si="1"/>
        <v/>
      </c>
      <c r="Q72" s="23" t="str">
        <f>_xlfn.IFNA(IF(SUM(D72:O72)=0,VLOOKUP(C72,DASHBOARD!$L$9:$M$11,2,0)*12,VLOOKUP(C72,DASHBOARD!$L$9:$M$11,2,0)*12-P72),"")</f>
        <v/>
      </c>
      <c r="U72" s="20"/>
      <c r="V72" s="20"/>
      <c r="W72" s="20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 t="s">
        <v>144</v>
      </c>
      <c r="AK72" s="23" t="s">
        <v>144</v>
      </c>
    </row>
    <row r="73" spans="1:37" x14ac:dyDescent="0.25">
      <c r="A73" s="20"/>
      <c r="B73" s="20"/>
      <c r="C73" s="20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 t="str">
        <f t="shared" si="1"/>
        <v/>
      </c>
      <c r="Q73" s="23" t="str">
        <f>_xlfn.IFNA(IF(SUM(D73:O73)=0,VLOOKUP(C73,DASHBOARD!$L$9:$M$11,2,0)*12,VLOOKUP(C73,DASHBOARD!$L$9:$M$11,2,0)*12-P73),"")</f>
        <v/>
      </c>
      <c r="U73" s="20"/>
      <c r="V73" s="20"/>
      <c r="W73" s="20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 t="s">
        <v>144</v>
      </c>
      <c r="AK73" s="23" t="s">
        <v>144</v>
      </c>
    </row>
    <row r="74" spans="1:37" x14ac:dyDescent="0.25">
      <c r="A74" s="20"/>
      <c r="B74" s="20"/>
      <c r="C74" s="20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 t="str">
        <f t="shared" si="1"/>
        <v/>
      </c>
      <c r="Q74" s="23" t="str">
        <f>_xlfn.IFNA(IF(SUM(D74:O74)=0,VLOOKUP(C74,DASHBOARD!$L$9:$M$11,2,0)*12,VLOOKUP(C74,DASHBOARD!$L$9:$M$11,2,0)*12-P74),"")</f>
        <v/>
      </c>
      <c r="U74" s="20"/>
      <c r="V74" s="20"/>
      <c r="W74" s="20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 t="s">
        <v>144</v>
      </c>
      <c r="AK74" s="23" t="s">
        <v>144</v>
      </c>
    </row>
    <row r="75" spans="1:37" x14ac:dyDescent="0.25">
      <c r="A75" s="20"/>
      <c r="B75" s="20"/>
      <c r="C75" s="20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 t="str">
        <f t="shared" si="1"/>
        <v/>
      </c>
      <c r="Q75" s="23" t="str">
        <f>_xlfn.IFNA(IF(SUM(D75:O75)=0,VLOOKUP(C75,DASHBOARD!$L$9:$M$11,2,0)*12,VLOOKUP(C75,DASHBOARD!$L$9:$M$11,2,0)*12-P75),"")</f>
        <v/>
      </c>
      <c r="U75" s="20"/>
      <c r="V75" s="20"/>
      <c r="W75" s="20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 t="s">
        <v>144</v>
      </c>
      <c r="AK75" s="23" t="s">
        <v>144</v>
      </c>
    </row>
    <row r="76" spans="1:37" x14ac:dyDescent="0.25">
      <c r="A76" s="20"/>
      <c r="B76" s="20"/>
      <c r="C76" s="20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 t="str">
        <f t="shared" si="1"/>
        <v/>
      </c>
      <c r="Q76" s="23" t="str">
        <f>_xlfn.IFNA(IF(SUM(D76:O76)=0,VLOOKUP(C76,DASHBOARD!$L$9:$M$11,2,0)*12,VLOOKUP(C76,DASHBOARD!$L$9:$M$11,2,0)*12-P76),"")</f>
        <v/>
      </c>
      <c r="U76" s="20"/>
      <c r="V76" s="20"/>
      <c r="W76" s="20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 t="s">
        <v>144</v>
      </c>
      <c r="AK76" s="23" t="s">
        <v>144</v>
      </c>
    </row>
    <row r="77" spans="1:37" x14ac:dyDescent="0.25">
      <c r="A77" s="20"/>
      <c r="B77" s="20"/>
      <c r="C77" s="20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 t="str">
        <f t="shared" si="1"/>
        <v/>
      </c>
      <c r="Q77" s="23" t="str">
        <f>_xlfn.IFNA(IF(SUM(D77:O77)=0,VLOOKUP(C77,DASHBOARD!$L$9:$M$11,2,0)*12,VLOOKUP(C77,DASHBOARD!$L$9:$M$11,2,0)*12-P77),"")</f>
        <v/>
      </c>
      <c r="U77" s="20"/>
      <c r="V77" s="20"/>
      <c r="W77" s="20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 t="s">
        <v>144</v>
      </c>
      <c r="AK77" s="23" t="s">
        <v>144</v>
      </c>
    </row>
    <row r="78" spans="1:37" x14ac:dyDescent="0.25">
      <c r="A78" s="20"/>
      <c r="B78" s="20"/>
      <c r="C78" s="20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 t="str">
        <f t="shared" si="1"/>
        <v/>
      </c>
      <c r="Q78" s="23" t="str">
        <f>_xlfn.IFNA(IF(SUM(D78:O78)=0,VLOOKUP(C78,DASHBOARD!$L$9:$M$11,2,0)*12,VLOOKUP(C78,DASHBOARD!$L$9:$M$11,2,0)*12-P78),"")</f>
        <v/>
      </c>
      <c r="U78" s="20"/>
      <c r="V78" s="20"/>
      <c r="W78" s="20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 t="s">
        <v>144</v>
      </c>
      <c r="AK78" s="23" t="s">
        <v>144</v>
      </c>
    </row>
    <row r="79" spans="1:37" x14ac:dyDescent="0.25">
      <c r="A79" s="20"/>
      <c r="B79" s="20"/>
      <c r="C79" s="20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 t="str">
        <f t="shared" si="1"/>
        <v/>
      </c>
      <c r="Q79" s="23" t="str">
        <f>_xlfn.IFNA(IF(SUM(D79:O79)=0,VLOOKUP(C79,DASHBOARD!$L$9:$M$11,2,0)*12,VLOOKUP(C79,DASHBOARD!$L$9:$M$11,2,0)*12-P79),"")</f>
        <v/>
      </c>
      <c r="U79" s="20"/>
      <c r="V79" s="20"/>
      <c r="W79" s="20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 t="s">
        <v>144</v>
      </c>
      <c r="AK79" s="23" t="s">
        <v>144</v>
      </c>
    </row>
    <row r="80" spans="1:37" x14ac:dyDescent="0.25">
      <c r="A80" s="20"/>
      <c r="B80" s="20"/>
      <c r="C80" s="20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 t="str">
        <f t="shared" si="1"/>
        <v/>
      </c>
      <c r="Q80" s="23" t="str">
        <f>_xlfn.IFNA(IF(SUM(D80:O80)=0,VLOOKUP(C80,DASHBOARD!$L$9:$M$11,2,0)*12,VLOOKUP(C80,DASHBOARD!$L$9:$M$11,2,0)*12-P80),"")</f>
        <v/>
      </c>
      <c r="U80" s="20"/>
      <c r="V80" s="20"/>
      <c r="W80" s="20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 t="s">
        <v>144</v>
      </c>
      <c r="AK80" s="23" t="s">
        <v>144</v>
      </c>
    </row>
    <row r="81" spans="1:37" x14ac:dyDescent="0.25">
      <c r="A81" s="20"/>
      <c r="B81" s="20"/>
      <c r="C81" s="20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 t="str">
        <f t="shared" si="1"/>
        <v/>
      </c>
      <c r="Q81" s="23" t="str">
        <f>_xlfn.IFNA(IF(SUM(D81:O81)=0,VLOOKUP(C81,DASHBOARD!$L$9:$M$11,2,0)*12,VLOOKUP(C81,DASHBOARD!$L$9:$M$11,2,0)*12-P81),"")</f>
        <v/>
      </c>
      <c r="U81" s="20"/>
      <c r="V81" s="20"/>
      <c r="W81" s="20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 t="s">
        <v>144</v>
      </c>
      <c r="AK81" s="23" t="s">
        <v>144</v>
      </c>
    </row>
    <row r="82" spans="1:37" x14ac:dyDescent="0.25">
      <c r="A82" s="20"/>
      <c r="B82" s="20"/>
      <c r="C82" s="20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 t="str">
        <f t="shared" si="1"/>
        <v/>
      </c>
      <c r="Q82" s="23" t="str">
        <f>_xlfn.IFNA(IF(SUM(D82:O82)=0,VLOOKUP(C82,DASHBOARD!$L$9:$M$11,2,0)*12,VLOOKUP(C82,DASHBOARD!$L$9:$M$11,2,0)*12-P82),"")</f>
        <v/>
      </c>
      <c r="U82" s="20"/>
      <c r="V82" s="20"/>
      <c r="W82" s="20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 t="s">
        <v>144</v>
      </c>
      <c r="AK82" s="23" t="s">
        <v>144</v>
      </c>
    </row>
    <row r="83" spans="1:37" x14ac:dyDescent="0.25">
      <c r="A83" s="20"/>
      <c r="B83" s="20"/>
      <c r="C83" s="2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 t="str">
        <f t="shared" si="1"/>
        <v/>
      </c>
      <c r="Q83" s="23" t="str">
        <f>_xlfn.IFNA(IF(SUM(D83:O83)=0,VLOOKUP(C83,DASHBOARD!$L$9:$M$11,2,0)*12,VLOOKUP(C83,DASHBOARD!$L$9:$M$11,2,0)*12-P83),"")</f>
        <v/>
      </c>
      <c r="U83" s="20"/>
      <c r="V83" s="20"/>
      <c r="W83" s="20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 t="s">
        <v>144</v>
      </c>
      <c r="AK83" s="23" t="s">
        <v>144</v>
      </c>
    </row>
    <row r="84" spans="1:37" x14ac:dyDescent="0.25">
      <c r="A84" s="20"/>
      <c r="B84" s="20"/>
      <c r="C84" s="20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 t="str">
        <f t="shared" si="1"/>
        <v/>
      </c>
      <c r="Q84" s="23" t="str">
        <f>_xlfn.IFNA(IF(SUM(D84:O84)=0,VLOOKUP(C84,DASHBOARD!$L$9:$M$11,2,0)*12,VLOOKUP(C84,DASHBOARD!$L$9:$M$11,2,0)*12-P84),"")</f>
        <v/>
      </c>
      <c r="U84" s="20"/>
      <c r="V84" s="20"/>
      <c r="W84" s="20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 t="s">
        <v>144</v>
      </c>
      <c r="AK84" s="23" t="s">
        <v>144</v>
      </c>
    </row>
    <row r="85" spans="1:37" x14ac:dyDescent="0.25">
      <c r="A85" s="20"/>
      <c r="B85" s="20"/>
      <c r="C85" s="2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 t="str">
        <f t="shared" si="1"/>
        <v/>
      </c>
      <c r="Q85" s="23" t="str">
        <f>_xlfn.IFNA(IF(SUM(D85:O85)=0,VLOOKUP(C85,DASHBOARD!$L$9:$M$11,2,0)*12,VLOOKUP(C85,DASHBOARD!$L$9:$M$11,2,0)*12-P85),"")</f>
        <v/>
      </c>
      <c r="U85" s="20"/>
      <c r="V85" s="20"/>
      <c r="W85" s="20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 t="s">
        <v>144</v>
      </c>
      <c r="AK85" s="23" t="s">
        <v>144</v>
      </c>
    </row>
    <row r="86" spans="1:37" x14ac:dyDescent="0.25">
      <c r="A86" s="20"/>
      <c r="B86" s="20"/>
      <c r="C86" s="20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 t="str">
        <f t="shared" si="1"/>
        <v/>
      </c>
      <c r="Q86" s="23" t="str">
        <f>_xlfn.IFNA(IF(SUM(D86:O86)=0,VLOOKUP(C86,DASHBOARD!$L$9:$M$11,2,0)*12,VLOOKUP(C86,DASHBOARD!$L$9:$M$11,2,0)*12-P86),"")</f>
        <v/>
      </c>
      <c r="U86" s="20"/>
      <c r="V86" s="20"/>
      <c r="W86" s="20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 t="s">
        <v>144</v>
      </c>
      <c r="AK86" s="23" t="s">
        <v>144</v>
      </c>
    </row>
    <row r="87" spans="1:37" x14ac:dyDescent="0.25">
      <c r="A87" s="20"/>
      <c r="B87" s="20"/>
      <c r="C87" s="20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 t="str">
        <f t="shared" si="1"/>
        <v/>
      </c>
      <c r="Q87" s="23" t="str">
        <f>_xlfn.IFNA(IF(SUM(D87:O87)=0,VLOOKUP(C87,DASHBOARD!$L$9:$M$11,2,0)*12,VLOOKUP(C87,DASHBOARD!$L$9:$M$11,2,0)*12-P87),"")</f>
        <v/>
      </c>
      <c r="U87" s="20"/>
      <c r="V87" s="20"/>
      <c r="W87" s="20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 t="s">
        <v>144</v>
      </c>
      <c r="AK87" s="23" t="s">
        <v>144</v>
      </c>
    </row>
    <row r="88" spans="1:37" x14ac:dyDescent="0.25">
      <c r="A88" s="20"/>
      <c r="B88" s="20"/>
      <c r="C88" s="20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 t="str">
        <f t="shared" si="1"/>
        <v/>
      </c>
      <c r="Q88" s="23" t="str">
        <f>_xlfn.IFNA(IF(SUM(D88:O88)=0,VLOOKUP(C88,DASHBOARD!$L$9:$M$11,2,0)*12,VLOOKUP(C88,DASHBOARD!$L$9:$M$11,2,0)*12-P88),"")</f>
        <v/>
      </c>
      <c r="U88" s="20"/>
      <c r="V88" s="20"/>
      <c r="W88" s="20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 t="s">
        <v>144</v>
      </c>
      <c r="AK88" s="23" t="s">
        <v>144</v>
      </c>
    </row>
    <row r="89" spans="1:37" x14ac:dyDescent="0.25">
      <c r="A89" s="20"/>
      <c r="B89" s="20"/>
      <c r="C89" s="20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 t="str">
        <f t="shared" si="1"/>
        <v/>
      </c>
      <c r="Q89" s="23" t="str">
        <f>_xlfn.IFNA(IF(SUM(D89:O89)=0,VLOOKUP(C89,DASHBOARD!$L$9:$M$11,2,0)*12,VLOOKUP(C89,DASHBOARD!$L$9:$M$11,2,0)*12-P89),"")</f>
        <v/>
      </c>
      <c r="U89" s="20"/>
      <c r="V89" s="20"/>
      <c r="W89" s="20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 t="s">
        <v>144</v>
      </c>
      <c r="AK89" s="23" t="s">
        <v>144</v>
      </c>
    </row>
    <row r="90" spans="1:37" x14ac:dyDescent="0.25">
      <c r="A90" s="20"/>
      <c r="B90" s="20"/>
      <c r="C90" s="20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 t="str">
        <f t="shared" si="1"/>
        <v/>
      </c>
      <c r="Q90" s="23" t="str">
        <f>_xlfn.IFNA(IF(SUM(D90:O90)=0,VLOOKUP(C90,DASHBOARD!$L$9:$M$11,2,0)*12,VLOOKUP(C90,DASHBOARD!$L$9:$M$11,2,0)*12-P90),"")</f>
        <v/>
      </c>
      <c r="U90" s="20"/>
      <c r="V90" s="20"/>
      <c r="W90" s="20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 t="s">
        <v>144</v>
      </c>
      <c r="AK90" s="23" t="s">
        <v>144</v>
      </c>
    </row>
    <row r="91" spans="1:37" x14ac:dyDescent="0.25">
      <c r="A91" s="20"/>
      <c r="B91" s="20"/>
      <c r="C91" s="20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 t="str">
        <f t="shared" si="1"/>
        <v/>
      </c>
      <c r="Q91" s="23" t="str">
        <f>_xlfn.IFNA(IF(SUM(D91:O91)=0,VLOOKUP(C91,DASHBOARD!$L$9:$M$11,2,0)*12,VLOOKUP(C91,DASHBOARD!$L$9:$M$11,2,0)*12-P91),"")</f>
        <v/>
      </c>
      <c r="U91" s="20"/>
      <c r="V91" s="20"/>
      <c r="W91" s="20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 t="s">
        <v>144</v>
      </c>
      <c r="AK91" s="23" t="s">
        <v>144</v>
      </c>
    </row>
    <row r="92" spans="1:37" x14ac:dyDescent="0.25">
      <c r="A92" s="20"/>
      <c r="B92" s="20"/>
      <c r="C92" s="20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 t="str">
        <f t="shared" si="1"/>
        <v/>
      </c>
      <c r="Q92" s="23" t="str">
        <f>_xlfn.IFNA(IF(SUM(D92:O92)=0,VLOOKUP(C92,DASHBOARD!$L$9:$M$11,2,0)*12,VLOOKUP(C92,DASHBOARD!$L$9:$M$11,2,0)*12-P92),"")</f>
        <v/>
      </c>
      <c r="U92" s="20"/>
      <c r="V92" s="20"/>
      <c r="W92" s="20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 t="s">
        <v>144</v>
      </c>
      <c r="AK92" s="23" t="s">
        <v>144</v>
      </c>
    </row>
    <row r="93" spans="1:37" x14ac:dyDescent="0.25">
      <c r="A93" s="20"/>
      <c r="B93" s="20"/>
      <c r="C93" s="20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 t="str">
        <f t="shared" si="1"/>
        <v/>
      </c>
      <c r="Q93" s="23" t="str">
        <f>_xlfn.IFNA(IF(SUM(D93:O93)=0,VLOOKUP(C93,DASHBOARD!$L$9:$M$11,2,0)*12,VLOOKUP(C93,DASHBOARD!$L$9:$M$11,2,0)*12-P93),"")</f>
        <v/>
      </c>
      <c r="U93" s="20"/>
      <c r="V93" s="20"/>
      <c r="W93" s="20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 t="s">
        <v>144</v>
      </c>
      <c r="AK93" s="23" t="s">
        <v>144</v>
      </c>
    </row>
    <row r="94" spans="1:37" x14ac:dyDescent="0.25">
      <c r="A94" s="20"/>
      <c r="B94" s="20"/>
      <c r="C94" s="20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 t="str">
        <f t="shared" si="1"/>
        <v/>
      </c>
      <c r="Q94" s="23" t="str">
        <f>_xlfn.IFNA(IF(SUM(D94:O94)=0,VLOOKUP(C94,DASHBOARD!$L$9:$M$11,2,0)*12,VLOOKUP(C94,DASHBOARD!$L$9:$M$11,2,0)*12-P94),"")</f>
        <v/>
      </c>
      <c r="U94" s="20"/>
      <c r="V94" s="20"/>
      <c r="W94" s="20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 t="s">
        <v>144</v>
      </c>
      <c r="AK94" s="23" t="s">
        <v>144</v>
      </c>
    </row>
    <row r="95" spans="1:37" x14ac:dyDescent="0.25">
      <c r="A95" s="20"/>
      <c r="B95" s="20"/>
      <c r="C95" s="20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 t="str">
        <f t="shared" si="1"/>
        <v/>
      </c>
      <c r="Q95" s="23" t="str">
        <f>_xlfn.IFNA(IF(SUM(D95:O95)=0,VLOOKUP(C95,DASHBOARD!$L$9:$M$11,2,0)*12,VLOOKUP(C95,DASHBOARD!$L$9:$M$11,2,0)*12-P95),"")</f>
        <v/>
      </c>
      <c r="U95" s="20"/>
      <c r="V95" s="20"/>
      <c r="W95" s="20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 t="s">
        <v>144</v>
      </c>
      <c r="AK95" s="23" t="s">
        <v>144</v>
      </c>
    </row>
    <row r="96" spans="1:37" x14ac:dyDescent="0.25">
      <c r="A96" s="20"/>
      <c r="B96" s="20"/>
      <c r="C96" s="20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 t="str">
        <f t="shared" si="1"/>
        <v/>
      </c>
      <c r="Q96" s="23" t="str">
        <f>_xlfn.IFNA(IF(SUM(D96:O96)=0,VLOOKUP(C96,DASHBOARD!$L$9:$M$11,2,0)*12,VLOOKUP(C96,DASHBOARD!$L$9:$M$11,2,0)*12-P96),"")</f>
        <v/>
      </c>
      <c r="U96" s="20"/>
      <c r="V96" s="20"/>
      <c r="W96" s="20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 t="s">
        <v>144</v>
      </c>
      <c r="AK96" s="23" t="s">
        <v>144</v>
      </c>
    </row>
    <row r="97" spans="1:37" x14ac:dyDescent="0.25">
      <c r="A97" s="20"/>
      <c r="B97" s="20"/>
      <c r="C97" s="20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 t="str">
        <f t="shared" si="1"/>
        <v/>
      </c>
      <c r="Q97" s="23" t="str">
        <f>_xlfn.IFNA(IF(SUM(D97:O97)=0,VLOOKUP(C97,DASHBOARD!$L$9:$M$11,2,0)*12,VLOOKUP(C97,DASHBOARD!$L$9:$M$11,2,0)*12-P97),"")</f>
        <v/>
      </c>
      <c r="U97" s="20"/>
      <c r="V97" s="20"/>
      <c r="W97" s="20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 t="s">
        <v>144</v>
      </c>
      <c r="AK97" s="23" t="s">
        <v>144</v>
      </c>
    </row>
    <row r="98" spans="1:37" x14ac:dyDescent="0.25">
      <c r="A98" s="20"/>
      <c r="B98" s="20"/>
      <c r="C98" s="20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 t="str">
        <f t="shared" si="1"/>
        <v/>
      </c>
      <c r="Q98" s="23" t="str">
        <f>_xlfn.IFNA(IF(SUM(D98:O98)=0,VLOOKUP(C98,DASHBOARD!$L$9:$M$11,2,0)*12,VLOOKUP(C98,DASHBOARD!$L$9:$M$11,2,0)*12-P98),"")</f>
        <v/>
      </c>
      <c r="U98" s="20"/>
      <c r="V98" s="20"/>
      <c r="W98" s="20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 t="s">
        <v>144</v>
      </c>
      <c r="AK98" s="23" t="s">
        <v>144</v>
      </c>
    </row>
    <row r="99" spans="1:37" x14ac:dyDescent="0.25">
      <c r="A99" s="20"/>
      <c r="B99" s="20"/>
      <c r="C99" s="20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 t="str">
        <f t="shared" si="1"/>
        <v/>
      </c>
      <c r="Q99" s="23" t="str">
        <f>_xlfn.IFNA(IF(SUM(D99:O99)=0,VLOOKUP(C99,DASHBOARD!$L$9:$M$11,2,0)*12,VLOOKUP(C99,DASHBOARD!$L$9:$M$11,2,0)*12-P99),"")</f>
        <v/>
      </c>
      <c r="U99" s="20"/>
      <c r="V99" s="20"/>
      <c r="W99" s="20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 t="s">
        <v>144</v>
      </c>
      <c r="AK99" s="23" t="s">
        <v>144</v>
      </c>
    </row>
    <row r="100" spans="1:37" x14ac:dyDescent="0.25">
      <c r="A100" s="20"/>
      <c r="B100" s="20"/>
      <c r="C100" s="20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 t="str">
        <f t="shared" si="1"/>
        <v/>
      </c>
      <c r="Q100" s="23" t="str">
        <f>_xlfn.IFNA(IF(SUM(D100:O100)=0,VLOOKUP(C100,DASHBOARD!$L$9:$M$11,2,0)*12,VLOOKUP(C100,DASHBOARD!$L$9:$M$11,2,0)*12-P100),"")</f>
        <v/>
      </c>
      <c r="U100" s="20"/>
      <c r="V100" s="20"/>
      <c r="W100" s="20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 t="s">
        <v>144</v>
      </c>
      <c r="AK100" s="23" t="s">
        <v>144</v>
      </c>
    </row>
    <row r="101" spans="1:37" x14ac:dyDescent="0.25">
      <c r="A101" s="20"/>
      <c r="B101" s="20"/>
      <c r="C101" s="20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 t="str">
        <f t="shared" si="1"/>
        <v/>
      </c>
      <c r="Q101" s="23" t="str">
        <f>_xlfn.IFNA(IF(SUM(D101:O101)=0,VLOOKUP(C101,DASHBOARD!$L$9:$M$11,2,0)*12,VLOOKUP(C101,DASHBOARD!$L$9:$M$11,2,0)*12-P101),"")</f>
        <v/>
      </c>
      <c r="U101" s="20"/>
      <c r="V101" s="20"/>
      <c r="W101" s="20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 t="s">
        <v>144</v>
      </c>
      <c r="AK101" s="23" t="s">
        <v>144</v>
      </c>
    </row>
    <row r="102" spans="1:37" x14ac:dyDescent="0.25">
      <c r="A102" s="20"/>
      <c r="B102" s="20"/>
      <c r="C102" s="20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 t="str">
        <f t="shared" si="1"/>
        <v/>
      </c>
      <c r="Q102" s="23" t="str">
        <f>_xlfn.IFNA(IF(SUM(D102:O102)=0,VLOOKUP(C102,DASHBOARD!$L$9:$M$11,2,0)*12,VLOOKUP(C102,DASHBOARD!$L$9:$M$11,2,0)*12-P102),"")</f>
        <v/>
      </c>
      <c r="U102" s="20"/>
      <c r="V102" s="20"/>
      <c r="W102" s="20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 t="s">
        <v>144</v>
      </c>
      <c r="AK102" s="23" t="s">
        <v>144</v>
      </c>
    </row>
    <row r="103" spans="1:37" x14ac:dyDescent="0.25">
      <c r="A103" s="20"/>
      <c r="B103" s="20"/>
      <c r="C103" s="20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 t="str">
        <f t="shared" si="1"/>
        <v/>
      </c>
      <c r="Q103" s="23" t="str">
        <f>_xlfn.IFNA(IF(SUM(D103:O103)=0,VLOOKUP(C103,DASHBOARD!$L$9:$M$11,2,0)*12,VLOOKUP(C103,DASHBOARD!$L$9:$M$11,2,0)*12-P103),"")</f>
        <v/>
      </c>
      <c r="U103" s="20"/>
      <c r="V103" s="20"/>
      <c r="W103" s="20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 t="s">
        <v>144</v>
      </c>
      <c r="AK103" s="23" t="s">
        <v>144</v>
      </c>
    </row>
    <row r="104" spans="1:37" x14ac:dyDescent="0.25">
      <c r="A104" s="20"/>
      <c r="B104" s="20"/>
      <c r="C104" s="20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 t="str">
        <f t="shared" si="1"/>
        <v/>
      </c>
      <c r="Q104" s="23" t="str">
        <f>_xlfn.IFNA(IF(SUM(D104:O104)=0,VLOOKUP(C104,DASHBOARD!$L$9:$M$11,2,0)*12,VLOOKUP(C104,DASHBOARD!$L$9:$M$11,2,0)*12-P104),"")</f>
        <v/>
      </c>
      <c r="U104" s="20"/>
      <c r="V104" s="20"/>
      <c r="W104" s="20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 t="s">
        <v>144</v>
      </c>
      <c r="AK104" s="23" t="s">
        <v>144</v>
      </c>
    </row>
    <row r="105" spans="1:37" x14ac:dyDescent="0.25">
      <c r="A105" s="20"/>
      <c r="B105" s="20"/>
      <c r="C105" s="20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 t="str">
        <f t="shared" si="1"/>
        <v/>
      </c>
      <c r="Q105" s="23" t="str">
        <f>_xlfn.IFNA(IF(SUM(D105:O105)=0,VLOOKUP(C105,DASHBOARD!$L$9:$M$11,2,0)*12,VLOOKUP(C105,DASHBOARD!$L$9:$M$11,2,0)*12-P105),"")</f>
        <v/>
      </c>
      <c r="U105" s="20"/>
      <c r="V105" s="20"/>
      <c r="W105" s="20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 t="s">
        <v>144</v>
      </c>
      <c r="AK105" s="23" t="s">
        <v>144</v>
      </c>
    </row>
    <row r="106" spans="1:37" x14ac:dyDescent="0.25">
      <c r="A106" s="20"/>
      <c r="B106" s="20"/>
      <c r="C106" s="20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 t="str">
        <f t="shared" si="1"/>
        <v/>
      </c>
      <c r="Q106" s="23" t="str">
        <f>_xlfn.IFNA(IF(SUM(D106:O106)=0,VLOOKUP(C106,DASHBOARD!$L$9:$M$11,2,0)*12,VLOOKUP(C106,DASHBOARD!$L$9:$M$11,2,0)*12-P106),"")</f>
        <v/>
      </c>
      <c r="U106" s="20"/>
      <c r="V106" s="20"/>
      <c r="W106" s="20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 t="s">
        <v>144</v>
      </c>
      <c r="AK106" s="23" t="s">
        <v>144</v>
      </c>
    </row>
    <row r="107" spans="1:37" x14ac:dyDescent="0.25">
      <c r="A107" s="20"/>
      <c r="B107" s="20"/>
      <c r="C107" s="20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 t="str">
        <f t="shared" si="1"/>
        <v/>
      </c>
      <c r="Q107" s="23" t="str">
        <f>_xlfn.IFNA(IF(SUM(D107:O107)=0,VLOOKUP(C107,DASHBOARD!$L$9:$M$11,2,0)*12,VLOOKUP(C107,DASHBOARD!$L$9:$M$11,2,0)*12-P107),"")</f>
        <v/>
      </c>
      <c r="U107" s="20"/>
      <c r="V107" s="20"/>
      <c r="W107" s="20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 t="s">
        <v>144</v>
      </c>
      <c r="AK107" s="23" t="s">
        <v>144</v>
      </c>
    </row>
    <row r="108" spans="1:37" x14ac:dyDescent="0.25">
      <c r="A108" s="20"/>
      <c r="B108" s="20"/>
      <c r="C108" s="20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 t="str">
        <f t="shared" si="1"/>
        <v/>
      </c>
      <c r="Q108" s="23" t="str">
        <f>_xlfn.IFNA(IF(SUM(D108:O108)=0,VLOOKUP(C108,DASHBOARD!$L$9:$M$11,2,0)*12,VLOOKUP(C108,DASHBOARD!$L$9:$M$11,2,0)*12-P108),"")</f>
        <v/>
      </c>
      <c r="U108" s="20"/>
      <c r="V108" s="20"/>
      <c r="W108" s="20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 t="s">
        <v>144</v>
      </c>
      <c r="AK108" s="23" t="s">
        <v>144</v>
      </c>
    </row>
    <row r="109" spans="1:37" x14ac:dyDescent="0.25">
      <c r="A109" s="20"/>
      <c r="B109" s="20"/>
      <c r="C109" s="20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 t="str">
        <f t="shared" si="1"/>
        <v/>
      </c>
      <c r="Q109" s="23" t="str">
        <f>_xlfn.IFNA(IF(SUM(D109:O109)=0,VLOOKUP(C109,DASHBOARD!$L$9:$M$11,2,0)*12,VLOOKUP(C109,DASHBOARD!$L$9:$M$11,2,0)*12-P109),"")</f>
        <v/>
      </c>
      <c r="U109" s="20"/>
      <c r="V109" s="20"/>
      <c r="W109" s="20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 t="s">
        <v>144</v>
      </c>
      <c r="AK109" s="23" t="s">
        <v>144</v>
      </c>
    </row>
    <row r="110" spans="1:37" x14ac:dyDescent="0.25">
      <c r="A110" s="20"/>
      <c r="B110" s="20"/>
      <c r="C110" s="20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 t="str">
        <f t="shared" si="1"/>
        <v/>
      </c>
      <c r="Q110" s="23" t="str">
        <f>_xlfn.IFNA(IF(SUM(D110:O110)=0,VLOOKUP(C110,DASHBOARD!$L$9:$M$11,2,0)*12,VLOOKUP(C110,DASHBOARD!$L$9:$M$11,2,0)*12-P110),"")</f>
        <v/>
      </c>
      <c r="U110" s="20"/>
      <c r="V110" s="20"/>
      <c r="W110" s="20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 t="s">
        <v>144</v>
      </c>
      <c r="AK110" s="23" t="s">
        <v>144</v>
      </c>
    </row>
    <row r="111" spans="1:37" x14ac:dyDescent="0.25">
      <c r="A111" s="20"/>
      <c r="B111" s="20"/>
      <c r="C111" s="20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 t="str">
        <f t="shared" si="1"/>
        <v/>
      </c>
      <c r="Q111" s="23" t="str">
        <f>_xlfn.IFNA(IF(SUM(D111:O111)=0,VLOOKUP(C111,DASHBOARD!$L$9:$M$11,2,0)*12,VLOOKUP(C111,DASHBOARD!$L$9:$M$11,2,0)*12-P111),"")</f>
        <v/>
      </c>
      <c r="U111" s="20"/>
      <c r="V111" s="20"/>
      <c r="W111" s="20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 t="s">
        <v>144</v>
      </c>
      <c r="AK111" s="23" t="s">
        <v>144</v>
      </c>
    </row>
    <row r="112" spans="1:37" x14ac:dyDescent="0.25">
      <c r="A112" s="20"/>
      <c r="B112" s="20"/>
      <c r="C112" s="20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 t="str">
        <f t="shared" si="1"/>
        <v/>
      </c>
      <c r="Q112" s="23" t="str">
        <f>_xlfn.IFNA(IF(SUM(D112:O112)=0,VLOOKUP(C112,DASHBOARD!$L$9:$M$11,2,0)*12,VLOOKUP(C112,DASHBOARD!$L$9:$M$11,2,0)*12-P112),"")</f>
        <v/>
      </c>
      <c r="U112" s="20"/>
      <c r="V112" s="20"/>
      <c r="W112" s="20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 t="s">
        <v>144</v>
      </c>
      <c r="AK112" s="23" t="s">
        <v>144</v>
      </c>
    </row>
    <row r="113" spans="1:37" x14ac:dyDescent="0.25">
      <c r="A113" s="20"/>
      <c r="B113" s="20"/>
      <c r="C113" s="20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 t="str">
        <f t="shared" si="1"/>
        <v/>
      </c>
      <c r="Q113" s="23" t="str">
        <f>_xlfn.IFNA(IF(SUM(D113:O113)=0,VLOOKUP(C113,DASHBOARD!$L$9:$M$11,2,0)*12,VLOOKUP(C113,DASHBOARD!$L$9:$M$11,2,0)*12-P113),"")</f>
        <v/>
      </c>
      <c r="U113" s="20"/>
      <c r="V113" s="20"/>
      <c r="W113" s="20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 t="s">
        <v>144</v>
      </c>
      <c r="AK113" s="23" t="s">
        <v>144</v>
      </c>
    </row>
    <row r="114" spans="1:37" x14ac:dyDescent="0.25">
      <c r="A114" s="20"/>
      <c r="B114" s="20"/>
      <c r="C114" s="20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 t="str">
        <f t="shared" si="1"/>
        <v/>
      </c>
      <c r="Q114" s="23" t="str">
        <f>_xlfn.IFNA(IF(SUM(D114:O114)=0,VLOOKUP(C114,DASHBOARD!$L$9:$M$11,2,0)*12,VLOOKUP(C114,DASHBOARD!$L$9:$M$11,2,0)*12-P114),"")</f>
        <v/>
      </c>
      <c r="U114" s="20"/>
      <c r="V114" s="20"/>
      <c r="W114" s="20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 t="s">
        <v>144</v>
      </c>
      <c r="AK114" s="23" t="s">
        <v>144</v>
      </c>
    </row>
    <row r="115" spans="1:37" x14ac:dyDescent="0.25">
      <c r="A115" s="20"/>
      <c r="B115" s="20"/>
      <c r="C115" s="20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 t="str">
        <f t="shared" si="1"/>
        <v/>
      </c>
      <c r="Q115" s="23" t="str">
        <f>_xlfn.IFNA(IF(SUM(D115:O115)=0,VLOOKUP(C115,DASHBOARD!$L$9:$M$11,2,0)*12,VLOOKUP(C115,DASHBOARD!$L$9:$M$11,2,0)*12-P115),"")</f>
        <v/>
      </c>
      <c r="U115" s="20"/>
      <c r="V115" s="20"/>
      <c r="W115" s="20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 t="s">
        <v>144</v>
      </c>
      <c r="AK115" s="23" t="s">
        <v>144</v>
      </c>
    </row>
    <row r="116" spans="1:37" x14ac:dyDescent="0.25">
      <c r="A116" s="20"/>
      <c r="B116" s="20"/>
      <c r="C116" s="20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 t="str">
        <f t="shared" si="1"/>
        <v/>
      </c>
      <c r="Q116" s="23" t="str">
        <f>_xlfn.IFNA(IF(SUM(D116:O116)=0,VLOOKUP(C116,DASHBOARD!$L$9:$M$11,2,0)*12,VLOOKUP(C116,DASHBOARD!$L$9:$M$11,2,0)*12-P116),"")</f>
        <v/>
      </c>
      <c r="U116" s="20"/>
      <c r="V116" s="20"/>
      <c r="W116" s="20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 t="s">
        <v>144</v>
      </c>
      <c r="AK116" s="23" t="s">
        <v>144</v>
      </c>
    </row>
    <row r="117" spans="1:37" x14ac:dyDescent="0.25">
      <c r="A117" s="20"/>
      <c r="B117" s="20"/>
      <c r="C117" s="20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 t="str">
        <f t="shared" si="1"/>
        <v/>
      </c>
      <c r="Q117" s="23" t="str">
        <f>_xlfn.IFNA(IF(SUM(D117:O117)=0,VLOOKUP(C117,DASHBOARD!$L$9:$M$11,2,0)*12,VLOOKUP(C117,DASHBOARD!$L$9:$M$11,2,0)*12-P117),"")</f>
        <v/>
      </c>
      <c r="U117" s="20"/>
      <c r="V117" s="20"/>
      <c r="W117" s="20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 t="s">
        <v>144</v>
      </c>
      <c r="AK117" s="23" t="s">
        <v>144</v>
      </c>
    </row>
    <row r="118" spans="1:37" x14ac:dyDescent="0.25">
      <c r="A118" s="20"/>
      <c r="B118" s="20"/>
      <c r="C118" s="20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 t="str">
        <f t="shared" si="1"/>
        <v/>
      </c>
      <c r="Q118" s="23" t="str">
        <f>_xlfn.IFNA(IF(SUM(D118:O118)=0,VLOOKUP(C118,DASHBOARD!$L$9:$M$11,2,0)*12,VLOOKUP(C118,DASHBOARD!$L$9:$M$11,2,0)*12-P118),"")</f>
        <v/>
      </c>
      <c r="U118" s="20"/>
      <c r="V118" s="20"/>
      <c r="W118" s="20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 t="s">
        <v>144</v>
      </c>
      <c r="AK118" s="23" t="s">
        <v>144</v>
      </c>
    </row>
    <row r="119" spans="1:37" x14ac:dyDescent="0.25">
      <c r="A119" s="20"/>
      <c r="B119" s="20"/>
      <c r="C119" s="20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 t="str">
        <f t="shared" si="1"/>
        <v/>
      </c>
      <c r="Q119" s="23" t="str">
        <f>_xlfn.IFNA(IF(SUM(D119:O119)=0,VLOOKUP(C119,DASHBOARD!$L$9:$M$11,2,0)*12,VLOOKUP(C119,DASHBOARD!$L$9:$M$11,2,0)*12-P119),"")</f>
        <v/>
      </c>
      <c r="U119" s="20"/>
      <c r="V119" s="20"/>
      <c r="W119" s="20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 t="s">
        <v>144</v>
      </c>
      <c r="AK119" s="23" t="s">
        <v>144</v>
      </c>
    </row>
    <row r="120" spans="1:37" x14ac:dyDescent="0.25">
      <c r="A120" s="20"/>
      <c r="B120" s="20"/>
      <c r="C120" s="20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 t="str">
        <f t="shared" si="1"/>
        <v/>
      </c>
      <c r="Q120" s="23" t="str">
        <f>_xlfn.IFNA(IF(SUM(D120:O120)=0,VLOOKUP(C120,DASHBOARD!$L$9:$M$11,2,0)*12,VLOOKUP(C120,DASHBOARD!$L$9:$M$11,2,0)*12-P120),"")</f>
        <v/>
      </c>
      <c r="U120" s="20"/>
      <c r="V120" s="20"/>
      <c r="W120" s="20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 t="s">
        <v>144</v>
      </c>
      <c r="AK120" s="23" t="s">
        <v>144</v>
      </c>
    </row>
    <row r="121" spans="1:37" x14ac:dyDescent="0.25">
      <c r="A121" s="20"/>
      <c r="B121" s="20"/>
      <c r="C121" s="20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 t="str">
        <f t="shared" si="1"/>
        <v/>
      </c>
      <c r="Q121" s="23" t="str">
        <f>_xlfn.IFNA(IF(SUM(D121:O121)=0,VLOOKUP(C121,DASHBOARD!$L$9:$M$11,2,0)*12,VLOOKUP(C121,DASHBOARD!$L$9:$M$11,2,0)*12-P121),"")</f>
        <v/>
      </c>
      <c r="U121" s="20"/>
      <c r="V121" s="20"/>
      <c r="W121" s="20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 t="s">
        <v>144</v>
      </c>
      <c r="AK121" s="23" t="s">
        <v>144</v>
      </c>
    </row>
    <row r="122" spans="1:37" x14ac:dyDescent="0.25">
      <c r="A122" s="20"/>
      <c r="B122" s="20"/>
      <c r="C122" s="20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 t="str">
        <f t="shared" si="1"/>
        <v/>
      </c>
      <c r="Q122" s="23" t="str">
        <f>_xlfn.IFNA(IF(SUM(D122:O122)=0,VLOOKUP(C122,DASHBOARD!$L$9:$M$11,2,0)*12,VLOOKUP(C122,DASHBOARD!$L$9:$M$11,2,0)*12-P122),"")</f>
        <v/>
      </c>
      <c r="U122" s="20"/>
      <c r="V122" s="20"/>
      <c r="W122" s="20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 t="s">
        <v>144</v>
      </c>
      <c r="AK122" s="23" t="s">
        <v>144</v>
      </c>
    </row>
    <row r="123" spans="1:37" x14ac:dyDescent="0.25">
      <c r="A123" s="20"/>
      <c r="B123" s="20"/>
      <c r="C123" s="2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 t="str">
        <f t="shared" si="1"/>
        <v/>
      </c>
      <c r="Q123" s="23" t="str">
        <f>_xlfn.IFNA(IF(SUM(D123:O123)=0,VLOOKUP(C123,DASHBOARD!$L$9:$M$11,2,0)*12,VLOOKUP(C123,DASHBOARD!$L$9:$M$11,2,0)*12-P123),"")</f>
        <v/>
      </c>
      <c r="U123" s="20"/>
      <c r="V123" s="20"/>
      <c r="W123" s="20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 t="s">
        <v>144</v>
      </c>
      <c r="AK123" s="23" t="s">
        <v>144</v>
      </c>
    </row>
    <row r="124" spans="1:37" x14ac:dyDescent="0.25">
      <c r="A124" s="20"/>
      <c r="B124" s="20"/>
      <c r="C124" s="20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 t="str">
        <f t="shared" si="1"/>
        <v/>
      </c>
      <c r="Q124" s="23" t="str">
        <f>_xlfn.IFNA(IF(SUM(D124:O124)=0,VLOOKUP(C124,DASHBOARD!$L$9:$M$11,2,0)*12,VLOOKUP(C124,DASHBOARD!$L$9:$M$11,2,0)*12-P124),"")</f>
        <v/>
      </c>
      <c r="U124" s="20"/>
      <c r="V124" s="20"/>
      <c r="W124" s="20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 t="s">
        <v>144</v>
      </c>
      <c r="AK124" s="23" t="s">
        <v>144</v>
      </c>
    </row>
    <row r="125" spans="1:37" x14ac:dyDescent="0.25">
      <c r="A125" s="20"/>
      <c r="B125" s="20"/>
      <c r="C125" s="20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 t="str">
        <f t="shared" si="1"/>
        <v/>
      </c>
      <c r="Q125" s="23" t="str">
        <f>_xlfn.IFNA(IF(SUM(D125:O125)=0,VLOOKUP(C125,DASHBOARD!$L$9:$M$11,2,0)*12,VLOOKUP(C125,DASHBOARD!$L$9:$M$11,2,0)*12-P125),"")</f>
        <v/>
      </c>
      <c r="U125" s="20"/>
      <c r="V125" s="20"/>
      <c r="W125" s="20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 t="s">
        <v>144</v>
      </c>
      <c r="AK125" s="23" t="s">
        <v>144</v>
      </c>
    </row>
    <row r="126" spans="1:37" x14ac:dyDescent="0.25">
      <c r="A126" s="20"/>
      <c r="B126" s="20"/>
      <c r="C126" s="20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 t="str">
        <f t="shared" si="1"/>
        <v/>
      </c>
      <c r="Q126" s="23" t="str">
        <f>_xlfn.IFNA(IF(SUM(D126:O126)=0,VLOOKUP(C126,DASHBOARD!$L$9:$M$11,2,0)*12,VLOOKUP(C126,DASHBOARD!$L$9:$M$11,2,0)*12-P126),"")</f>
        <v/>
      </c>
      <c r="U126" s="20"/>
      <c r="V126" s="20"/>
      <c r="W126" s="20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 t="s">
        <v>144</v>
      </c>
      <c r="AK126" s="23" t="s">
        <v>144</v>
      </c>
    </row>
    <row r="127" spans="1:37" x14ac:dyDescent="0.25">
      <c r="A127" s="20"/>
      <c r="B127" s="20"/>
      <c r="C127" s="20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 t="str">
        <f t="shared" si="1"/>
        <v/>
      </c>
      <c r="Q127" s="23" t="str">
        <f>_xlfn.IFNA(IF(SUM(D127:O127)=0,VLOOKUP(C127,DASHBOARD!$L$9:$M$11,2,0)*12,VLOOKUP(C127,DASHBOARD!$L$9:$M$11,2,0)*12-P127),"")</f>
        <v/>
      </c>
      <c r="U127" s="20"/>
      <c r="V127" s="20"/>
      <c r="W127" s="20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 t="s">
        <v>144</v>
      </c>
      <c r="AK127" s="23" t="s">
        <v>144</v>
      </c>
    </row>
    <row r="128" spans="1:37" x14ac:dyDescent="0.25">
      <c r="A128" s="20"/>
      <c r="B128" s="20"/>
      <c r="C128" s="20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 t="str">
        <f t="shared" si="1"/>
        <v/>
      </c>
      <c r="Q128" s="23" t="str">
        <f>_xlfn.IFNA(IF(SUM(D128:O128)=0,VLOOKUP(C128,DASHBOARD!$L$9:$M$11,2,0)*12,VLOOKUP(C128,DASHBOARD!$L$9:$M$11,2,0)*12-P128),"")</f>
        <v/>
      </c>
      <c r="U128" s="20"/>
      <c r="V128" s="20"/>
      <c r="W128" s="20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 t="s">
        <v>144</v>
      </c>
      <c r="AK128" s="23" t="s">
        <v>144</v>
      </c>
    </row>
    <row r="129" spans="1:37" x14ac:dyDescent="0.25">
      <c r="A129" s="20"/>
      <c r="B129" s="20"/>
      <c r="C129" s="20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 t="str">
        <f t="shared" si="1"/>
        <v/>
      </c>
      <c r="Q129" s="23" t="str">
        <f>_xlfn.IFNA(IF(SUM(D129:O129)=0,VLOOKUP(C129,DASHBOARD!$L$9:$M$11,2,0)*12,VLOOKUP(C129,DASHBOARD!$L$9:$M$11,2,0)*12-P129),"")</f>
        <v/>
      </c>
      <c r="U129" s="20"/>
      <c r="V129" s="20"/>
      <c r="W129" s="20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 t="s">
        <v>144</v>
      </c>
      <c r="AK129" s="23" t="s">
        <v>144</v>
      </c>
    </row>
    <row r="130" spans="1:37" x14ac:dyDescent="0.25">
      <c r="A130" s="20"/>
      <c r="B130" s="20"/>
      <c r="C130" s="20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 t="str">
        <f t="shared" si="1"/>
        <v/>
      </c>
      <c r="Q130" s="23" t="str">
        <f>_xlfn.IFNA(IF(SUM(D130:O130)=0,VLOOKUP(C130,DASHBOARD!$L$9:$M$11,2,0)*12,VLOOKUP(C130,DASHBOARD!$L$9:$M$11,2,0)*12-P130),"")</f>
        <v/>
      </c>
      <c r="U130" s="20"/>
      <c r="V130" s="20"/>
      <c r="W130" s="20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 t="s">
        <v>144</v>
      </c>
      <c r="AK130" s="23" t="s">
        <v>144</v>
      </c>
    </row>
    <row r="131" spans="1:37" x14ac:dyDescent="0.25">
      <c r="A131" s="20"/>
      <c r="B131" s="20"/>
      <c r="C131" s="20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 t="str">
        <f t="shared" si="1"/>
        <v/>
      </c>
      <c r="Q131" s="23" t="str">
        <f>_xlfn.IFNA(IF(SUM(D131:O131)=0,VLOOKUP(C131,DASHBOARD!$L$9:$M$11,2,0)*12,VLOOKUP(C131,DASHBOARD!$L$9:$M$11,2,0)*12-P131),"")</f>
        <v/>
      </c>
      <c r="U131" s="20"/>
      <c r="V131" s="20"/>
      <c r="W131" s="20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 t="s">
        <v>144</v>
      </c>
      <c r="AK131" s="23" t="s">
        <v>144</v>
      </c>
    </row>
    <row r="132" spans="1:37" x14ac:dyDescent="0.25">
      <c r="A132" s="20"/>
      <c r="B132" s="20"/>
      <c r="C132" s="20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 t="str">
        <f t="shared" si="1"/>
        <v/>
      </c>
      <c r="Q132" s="23" t="str">
        <f>_xlfn.IFNA(IF(SUM(D132:O132)=0,VLOOKUP(C132,DASHBOARD!$L$9:$M$11,2,0)*12,VLOOKUP(C132,DASHBOARD!$L$9:$M$11,2,0)*12-P132),"")</f>
        <v/>
      </c>
      <c r="U132" s="20"/>
      <c r="V132" s="20"/>
      <c r="W132" s="20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 t="s">
        <v>144</v>
      </c>
      <c r="AK132" s="23" t="s">
        <v>144</v>
      </c>
    </row>
    <row r="133" spans="1:37" x14ac:dyDescent="0.25">
      <c r="A133" s="20"/>
      <c r="B133" s="20"/>
      <c r="C133" s="20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 t="str">
        <f t="shared" ref="P133:P196" si="2">IF(SUM(D133:O133)=0,"",SUM(D133:O133))</f>
        <v/>
      </c>
      <c r="Q133" s="23" t="str">
        <f>_xlfn.IFNA(IF(SUM(D133:O133)=0,VLOOKUP(C133,DASHBOARD!$L$9:$M$11,2,0)*12,VLOOKUP(C133,DASHBOARD!$L$9:$M$11,2,0)*12-P133),"")</f>
        <v/>
      </c>
      <c r="U133" s="20"/>
      <c r="V133" s="20"/>
      <c r="W133" s="20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 t="s">
        <v>144</v>
      </c>
      <c r="AK133" s="23" t="s">
        <v>144</v>
      </c>
    </row>
    <row r="134" spans="1:37" x14ac:dyDescent="0.25">
      <c r="A134" s="20"/>
      <c r="B134" s="20"/>
      <c r="C134" s="20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 t="str">
        <f t="shared" si="2"/>
        <v/>
      </c>
      <c r="Q134" s="23" t="str">
        <f>_xlfn.IFNA(IF(SUM(D134:O134)=0,VLOOKUP(C134,DASHBOARD!$L$9:$M$11,2,0)*12,VLOOKUP(C134,DASHBOARD!$L$9:$M$11,2,0)*12-P134),"")</f>
        <v/>
      </c>
      <c r="U134" s="20"/>
      <c r="V134" s="20"/>
      <c r="W134" s="20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 t="s">
        <v>144</v>
      </c>
      <c r="AK134" s="23" t="s">
        <v>144</v>
      </c>
    </row>
    <row r="135" spans="1:37" x14ac:dyDescent="0.25">
      <c r="A135" s="20"/>
      <c r="B135" s="20"/>
      <c r="C135" s="20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 t="str">
        <f t="shared" si="2"/>
        <v/>
      </c>
      <c r="Q135" s="23" t="str">
        <f>_xlfn.IFNA(IF(SUM(D135:O135)=0,VLOOKUP(C135,DASHBOARD!$L$9:$M$11,2,0)*12,VLOOKUP(C135,DASHBOARD!$L$9:$M$11,2,0)*12-P135),"")</f>
        <v/>
      </c>
      <c r="U135" s="20"/>
      <c r="V135" s="20"/>
      <c r="W135" s="20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 t="s">
        <v>144</v>
      </c>
      <c r="AK135" s="23" t="s">
        <v>144</v>
      </c>
    </row>
    <row r="136" spans="1:37" x14ac:dyDescent="0.25">
      <c r="A136" s="20"/>
      <c r="B136" s="20"/>
      <c r="C136" s="20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 t="str">
        <f t="shared" si="2"/>
        <v/>
      </c>
      <c r="Q136" s="23" t="str">
        <f>_xlfn.IFNA(IF(SUM(D136:O136)=0,VLOOKUP(C136,DASHBOARD!$L$9:$M$11,2,0)*12,VLOOKUP(C136,DASHBOARD!$L$9:$M$11,2,0)*12-P136),"")</f>
        <v/>
      </c>
      <c r="U136" s="20"/>
      <c r="V136" s="20"/>
      <c r="W136" s="20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 t="s">
        <v>144</v>
      </c>
      <c r="AK136" s="23" t="s">
        <v>144</v>
      </c>
    </row>
    <row r="137" spans="1:37" x14ac:dyDescent="0.25">
      <c r="A137" s="20"/>
      <c r="B137" s="20"/>
      <c r="C137" s="20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 t="str">
        <f t="shared" si="2"/>
        <v/>
      </c>
      <c r="Q137" s="23" t="str">
        <f>_xlfn.IFNA(IF(SUM(D137:O137)=0,VLOOKUP(C137,DASHBOARD!$L$9:$M$11,2,0)*12,VLOOKUP(C137,DASHBOARD!$L$9:$M$11,2,0)*12-P137),"")</f>
        <v/>
      </c>
      <c r="U137" s="20"/>
      <c r="V137" s="20"/>
      <c r="W137" s="20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 t="s">
        <v>144</v>
      </c>
      <c r="AK137" s="23" t="s">
        <v>144</v>
      </c>
    </row>
    <row r="138" spans="1:37" x14ac:dyDescent="0.25">
      <c r="A138" s="20"/>
      <c r="B138" s="20"/>
      <c r="C138" s="20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 t="str">
        <f t="shared" si="2"/>
        <v/>
      </c>
      <c r="Q138" s="23" t="str">
        <f>_xlfn.IFNA(IF(SUM(D138:O138)=0,VLOOKUP(C138,DASHBOARD!$L$9:$M$11,2,0)*12,VLOOKUP(C138,DASHBOARD!$L$9:$M$11,2,0)*12-P138),"")</f>
        <v/>
      </c>
      <c r="U138" s="20"/>
      <c r="V138" s="20"/>
      <c r="W138" s="20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 t="s">
        <v>144</v>
      </c>
      <c r="AK138" s="23" t="s">
        <v>144</v>
      </c>
    </row>
    <row r="139" spans="1:37" x14ac:dyDescent="0.25">
      <c r="A139" s="20"/>
      <c r="B139" s="20"/>
      <c r="C139" s="20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 t="str">
        <f t="shared" si="2"/>
        <v/>
      </c>
      <c r="Q139" s="23" t="str">
        <f>_xlfn.IFNA(IF(SUM(D139:O139)=0,VLOOKUP(C139,DASHBOARD!$L$9:$M$11,2,0)*12,VLOOKUP(C139,DASHBOARD!$L$9:$M$11,2,0)*12-P139),"")</f>
        <v/>
      </c>
      <c r="U139" s="20"/>
      <c r="V139" s="20"/>
      <c r="W139" s="20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 t="s">
        <v>144</v>
      </c>
      <c r="AK139" s="23" t="s">
        <v>144</v>
      </c>
    </row>
    <row r="140" spans="1:37" x14ac:dyDescent="0.25">
      <c r="A140" s="20"/>
      <c r="B140" s="20"/>
      <c r="C140" s="20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 t="str">
        <f t="shared" si="2"/>
        <v/>
      </c>
      <c r="Q140" s="23" t="str">
        <f>_xlfn.IFNA(IF(SUM(D140:O140)=0,VLOOKUP(C140,DASHBOARD!$L$9:$M$11,2,0)*12,VLOOKUP(C140,DASHBOARD!$L$9:$M$11,2,0)*12-P140),"")</f>
        <v/>
      </c>
      <c r="U140" s="20"/>
      <c r="V140" s="20"/>
      <c r="W140" s="20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 t="s">
        <v>144</v>
      </c>
      <c r="AK140" s="23" t="s">
        <v>144</v>
      </c>
    </row>
    <row r="141" spans="1:37" x14ac:dyDescent="0.25">
      <c r="A141" s="20"/>
      <c r="B141" s="20"/>
      <c r="C141" s="20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 t="str">
        <f t="shared" si="2"/>
        <v/>
      </c>
      <c r="Q141" s="23" t="str">
        <f>_xlfn.IFNA(IF(SUM(D141:O141)=0,VLOOKUP(C141,DASHBOARD!$L$9:$M$11,2,0)*12,VLOOKUP(C141,DASHBOARD!$L$9:$M$11,2,0)*12-P141),"")</f>
        <v/>
      </c>
      <c r="U141" s="20"/>
      <c r="V141" s="20"/>
      <c r="W141" s="20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 t="s">
        <v>144</v>
      </c>
      <c r="AK141" s="23" t="s">
        <v>144</v>
      </c>
    </row>
    <row r="142" spans="1:37" x14ac:dyDescent="0.25">
      <c r="A142" s="20"/>
      <c r="B142" s="20"/>
      <c r="C142" s="20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 t="str">
        <f t="shared" si="2"/>
        <v/>
      </c>
      <c r="Q142" s="23" t="str">
        <f>_xlfn.IFNA(IF(SUM(D142:O142)=0,VLOOKUP(C142,DASHBOARD!$L$9:$M$11,2,0)*12,VLOOKUP(C142,DASHBOARD!$L$9:$M$11,2,0)*12-P142),"")</f>
        <v/>
      </c>
      <c r="U142" s="20"/>
      <c r="V142" s="20"/>
      <c r="W142" s="20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 t="s">
        <v>144</v>
      </c>
      <c r="AK142" s="23" t="s">
        <v>144</v>
      </c>
    </row>
    <row r="143" spans="1:37" x14ac:dyDescent="0.25">
      <c r="A143" s="20"/>
      <c r="B143" s="20"/>
      <c r="C143" s="20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 t="str">
        <f t="shared" si="2"/>
        <v/>
      </c>
      <c r="Q143" s="23" t="str">
        <f>_xlfn.IFNA(IF(SUM(D143:O143)=0,VLOOKUP(C143,DASHBOARD!$L$9:$M$11,2,0)*12,VLOOKUP(C143,DASHBOARD!$L$9:$M$11,2,0)*12-P143),"")</f>
        <v/>
      </c>
      <c r="U143" s="20"/>
      <c r="V143" s="20"/>
      <c r="W143" s="20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 t="s">
        <v>144</v>
      </c>
      <c r="AK143" s="23" t="s">
        <v>144</v>
      </c>
    </row>
    <row r="144" spans="1:37" x14ac:dyDescent="0.25">
      <c r="A144" s="20"/>
      <c r="B144" s="20"/>
      <c r="C144" s="20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 t="str">
        <f t="shared" si="2"/>
        <v/>
      </c>
      <c r="Q144" s="23" t="str">
        <f>_xlfn.IFNA(IF(SUM(D144:O144)=0,VLOOKUP(C144,DASHBOARD!$L$9:$M$11,2,0)*12,VLOOKUP(C144,DASHBOARD!$L$9:$M$11,2,0)*12-P144),"")</f>
        <v/>
      </c>
      <c r="U144" s="20"/>
      <c r="V144" s="20"/>
      <c r="W144" s="20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 t="s">
        <v>144</v>
      </c>
      <c r="AK144" s="23" t="s">
        <v>144</v>
      </c>
    </row>
    <row r="145" spans="1:37" x14ac:dyDescent="0.25">
      <c r="A145" s="20"/>
      <c r="B145" s="20"/>
      <c r="C145" s="20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 t="str">
        <f t="shared" si="2"/>
        <v/>
      </c>
      <c r="Q145" s="23" t="str">
        <f>_xlfn.IFNA(IF(SUM(D145:O145)=0,VLOOKUP(C145,DASHBOARD!$L$9:$M$11,2,0)*12,VLOOKUP(C145,DASHBOARD!$L$9:$M$11,2,0)*12-P145),"")</f>
        <v/>
      </c>
      <c r="U145" s="20"/>
      <c r="V145" s="20"/>
      <c r="W145" s="20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 t="s">
        <v>144</v>
      </c>
      <c r="AK145" s="23" t="s">
        <v>144</v>
      </c>
    </row>
    <row r="146" spans="1:37" x14ac:dyDescent="0.25">
      <c r="A146" s="20"/>
      <c r="B146" s="20"/>
      <c r="C146" s="20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 t="str">
        <f t="shared" si="2"/>
        <v/>
      </c>
      <c r="Q146" s="23" t="str">
        <f>_xlfn.IFNA(IF(SUM(D146:O146)=0,VLOOKUP(C146,DASHBOARD!$L$9:$M$11,2,0)*12,VLOOKUP(C146,DASHBOARD!$L$9:$M$11,2,0)*12-P146),"")</f>
        <v/>
      </c>
      <c r="U146" s="20"/>
      <c r="V146" s="20"/>
      <c r="W146" s="20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 t="s">
        <v>144</v>
      </c>
      <c r="AK146" s="23" t="s">
        <v>144</v>
      </c>
    </row>
    <row r="147" spans="1:37" x14ac:dyDescent="0.25">
      <c r="A147" s="20"/>
      <c r="B147" s="20"/>
      <c r="C147" s="20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 t="str">
        <f t="shared" si="2"/>
        <v/>
      </c>
      <c r="Q147" s="23" t="str">
        <f>_xlfn.IFNA(IF(SUM(D147:O147)=0,VLOOKUP(C147,DASHBOARD!$L$9:$M$11,2,0)*12,VLOOKUP(C147,DASHBOARD!$L$9:$M$11,2,0)*12-P147),"")</f>
        <v/>
      </c>
      <c r="U147" s="20"/>
      <c r="V147" s="20"/>
      <c r="W147" s="20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 t="s">
        <v>144</v>
      </c>
      <c r="AK147" s="23" t="s">
        <v>144</v>
      </c>
    </row>
    <row r="148" spans="1:37" x14ac:dyDescent="0.25">
      <c r="A148" s="20"/>
      <c r="B148" s="20"/>
      <c r="C148" s="20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 t="str">
        <f t="shared" si="2"/>
        <v/>
      </c>
      <c r="Q148" s="23" t="str">
        <f>_xlfn.IFNA(IF(SUM(D148:O148)=0,VLOOKUP(C148,DASHBOARD!$L$9:$M$11,2,0)*12,VLOOKUP(C148,DASHBOARD!$L$9:$M$11,2,0)*12-P148),"")</f>
        <v/>
      </c>
      <c r="U148" s="20"/>
      <c r="V148" s="20"/>
      <c r="W148" s="20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 t="s">
        <v>144</v>
      </c>
      <c r="AK148" s="23" t="s">
        <v>144</v>
      </c>
    </row>
    <row r="149" spans="1:37" x14ac:dyDescent="0.25">
      <c r="A149" s="20"/>
      <c r="B149" s="20"/>
      <c r="C149" s="20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 t="str">
        <f t="shared" si="2"/>
        <v/>
      </c>
      <c r="Q149" s="23" t="str">
        <f>_xlfn.IFNA(IF(SUM(D149:O149)=0,VLOOKUP(C149,DASHBOARD!$L$9:$M$11,2,0)*12,VLOOKUP(C149,DASHBOARD!$L$9:$M$11,2,0)*12-P149),"")</f>
        <v/>
      </c>
      <c r="U149" s="20"/>
      <c r="V149" s="20"/>
      <c r="W149" s="20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 t="s">
        <v>144</v>
      </c>
      <c r="AK149" s="23" t="s">
        <v>144</v>
      </c>
    </row>
    <row r="150" spans="1:37" x14ac:dyDescent="0.25">
      <c r="A150" s="20"/>
      <c r="B150" s="20"/>
      <c r="C150" s="20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 t="str">
        <f t="shared" si="2"/>
        <v/>
      </c>
      <c r="Q150" s="23" t="str">
        <f>_xlfn.IFNA(IF(SUM(D150:O150)=0,VLOOKUP(C150,DASHBOARD!$L$9:$M$11,2,0)*12,VLOOKUP(C150,DASHBOARD!$L$9:$M$11,2,0)*12-P150),"")</f>
        <v/>
      </c>
      <c r="U150" s="20"/>
      <c r="V150" s="20"/>
      <c r="W150" s="20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 t="s">
        <v>144</v>
      </c>
      <c r="AK150" s="23" t="s">
        <v>144</v>
      </c>
    </row>
    <row r="151" spans="1:37" x14ac:dyDescent="0.25">
      <c r="A151" s="20"/>
      <c r="B151" s="20"/>
      <c r="C151" s="20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 t="str">
        <f t="shared" si="2"/>
        <v/>
      </c>
      <c r="Q151" s="23" t="str">
        <f>_xlfn.IFNA(IF(SUM(D151:O151)=0,VLOOKUP(C151,DASHBOARD!$L$9:$M$11,2,0)*12,VLOOKUP(C151,DASHBOARD!$L$9:$M$11,2,0)*12-P151),"")</f>
        <v/>
      </c>
      <c r="U151" s="20"/>
      <c r="V151" s="20"/>
      <c r="W151" s="20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 t="s">
        <v>144</v>
      </c>
      <c r="AK151" s="23" t="s">
        <v>144</v>
      </c>
    </row>
    <row r="152" spans="1:37" x14ac:dyDescent="0.25">
      <c r="A152" s="20"/>
      <c r="B152" s="20"/>
      <c r="C152" s="20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 t="str">
        <f t="shared" si="2"/>
        <v/>
      </c>
      <c r="Q152" s="23" t="str">
        <f>_xlfn.IFNA(IF(SUM(D152:O152)=0,VLOOKUP(C152,DASHBOARD!$L$9:$M$11,2,0)*12,VLOOKUP(C152,DASHBOARD!$L$9:$M$11,2,0)*12-P152),"")</f>
        <v/>
      </c>
      <c r="U152" s="20"/>
      <c r="V152" s="20"/>
      <c r="W152" s="20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 t="s">
        <v>144</v>
      </c>
      <c r="AK152" s="23" t="s">
        <v>144</v>
      </c>
    </row>
    <row r="153" spans="1:37" x14ac:dyDescent="0.25">
      <c r="A153" s="20"/>
      <c r="B153" s="20"/>
      <c r="C153" s="20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 t="str">
        <f t="shared" si="2"/>
        <v/>
      </c>
      <c r="Q153" s="23" t="str">
        <f>_xlfn.IFNA(IF(SUM(D153:O153)=0,VLOOKUP(C153,DASHBOARD!$L$9:$M$11,2,0)*12,VLOOKUP(C153,DASHBOARD!$L$9:$M$11,2,0)*12-P153),"")</f>
        <v/>
      </c>
      <c r="U153" s="20"/>
      <c r="V153" s="20"/>
      <c r="W153" s="20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 t="s">
        <v>144</v>
      </c>
      <c r="AK153" s="23" t="s">
        <v>144</v>
      </c>
    </row>
    <row r="154" spans="1:37" x14ac:dyDescent="0.25">
      <c r="A154" s="20"/>
      <c r="B154" s="20"/>
      <c r="C154" s="20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 t="str">
        <f t="shared" si="2"/>
        <v/>
      </c>
      <c r="Q154" s="23" t="str">
        <f>_xlfn.IFNA(IF(SUM(D154:O154)=0,VLOOKUP(C154,DASHBOARD!$L$9:$M$11,2,0)*12,VLOOKUP(C154,DASHBOARD!$L$9:$M$11,2,0)*12-P154),"")</f>
        <v/>
      </c>
      <c r="U154" s="20"/>
      <c r="V154" s="20"/>
      <c r="W154" s="20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 t="s">
        <v>144</v>
      </c>
      <c r="AK154" s="23" t="s">
        <v>144</v>
      </c>
    </row>
    <row r="155" spans="1:37" x14ac:dyDescent="0.25">
      <c r="A155" s="20"/>
      <c r="B155" s="20"/>
      <c r="C155" s="20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 t="str">
        <f t="shared" si="2"/>
        <v/>
      </c>
      <c r="Q155" s="23" t="str">
        <f>_xlfn.IFNA(IF(SUM(D155:O155)=0,VLOOKUP(C155,DASHBOARD!$L$9:$M$11,2,0)*12,VLOOKUP(C155,DASHBOARD!$L$9:$M$11,2,0)*12-P155),"")</f>
        <v/>
      </c>
      <c r="U155" s="20"/>
      <c r="V155" s="20"/>
      <c r="W155" s="20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 t="s">
        <v>144</v>
      </c>
      <c r="AK155" s="23" t="s">
        <v>144</v>
      </c>
    </row>
    <row r="156" spans="1:37" x14ac:dyDescent="0.25">
      <c r="A156" s="20"/>
      <c r="B156" s="20"/>
      <c r="C156" s="20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 t="str">
        <f t="shared" si="2"/>
        <v/>
      </c>
      <c r="Q156" s="23" t="str">
        <f>_xlfn.IFNA(IF(SUM(D156:O156)=0,VLOOKUP(C156,DASHBOARD!$L$9:$M$11,2,0)*12,VLOOKUP(C156,DASHBOARD!$L$9:$M$11,2,0)*12-P156),"")</f>
        <v/>
      </c>
      <c r="U156" s="20"/>
      <c r="V156" s="20"/>
      <c r="W156" s="20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 t="s">
        <v>144</v>
      </c>
      <c r="AK156" s="23" t="s">
        <v>144</v>
      </c>
    </row>
    <row r="157" spans="1:37" x14ac:dyDescent="0.25">
      <c r="A157" s="20"/>
      <c r="B157" s="20"/>
      <c r="C157" s="20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 t="str">
        <f t="shared" si="2"/>
        <v/>
      </c>
      <c r="Q157" s="23" t="str">
        <f>_xlfn.IFNA(IF(SUM(D157:O157)=0,VLOOKUP(C157,DASHBOARD!$L$9:$M$11,2,0)*12,VLOOKUP(C157,DASHBOARD!$L$9:$M$11,2,0)*12-P157),"")</f>
        <v/>
      </c>
      <c r="U157" s="20"/>
      <c r="V157" s="20"/>
      <c r="W157" s="20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 t="s">
        <v>144</v>
      </c>
      <c r="AK157" s="23" t="s">
        <v>144</v>
      </c>
    </row>
    <row r="158" spans="1:37" x14ac:dyDescent="0.25">
      <c r="A158" s="20"/>
      <c r="B158" s="20"/>
      <c r="C158" s="20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 t="str">
        <f t="shared" si="2"/>
        <v/>
      </c>
      <c r="Q158" s="23" t="str">
        <f>_xlfn.IFNA(IF(SUM(D158:O158)=0,VLOOKUP(C158,DASHBOARD!$L$9:$M$11,2,0)*12,VLOOKUP(C158,DASHBOARD!$L$9:$M$11,2,0)*12-P158),"")</f>
        <v/>
      </c>
      <c r="U158" s="20"/>
      <c r="V158" s="20"/>
      <c r="W158" s="20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 t="s">
        <v>144</v>
      </c>
      <c r="AK158" s="23" t="s">
        <v>144</v>
      </c>
    </row>
    <row r="159" spans="1:37" x14ac:dyDescent="0.25">
      <c r="A159" s="20"/>
      <c r="B159" s="20"/>
      <c r="C159" s="20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 t="str">
        <f t="shared" si="2"/>
        <v/>
      </c>
      <c r="Q159" s="23" t="str">
        <f>_xlfn.IFNA(IF(SUM(D159:O159)=0,VLOOKUP(C159,DASHBOARD!$L$9:$M$11,2,0)*12,VLOOKUP(C159,DASHBOARD!$L$9:$M$11,2,0)*12-P159),"")</f>
        <v/>
      </c>
      <c r="U159" s="20"/>
      <c r="V159" s="20"/>
      <c r="W159" s="20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 t="s">
        <v>144</v>
      </c>
      <c r="AK159" s="23" t="s">
        <v>144</v>
      </c>
    </row>
    <row r="160" spans="1:37" x14ac:dyDescent="0.25">
      <c r="A160" s="20"/>
      <c r="B160" s="20"/>
      <c r="C160" s="20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 t="str">
        <f t="shared" si="2"/>
        <v/>
      </c>
      <c r="Q160" s="23" t="str">
        <f>_xlfn.IFNA(IF(SUM(D160:O160)=0,VLOOKUP(C160,DASHBOARD!$L$9:$M$11,2,0)*12,VLOOKUP(C160,DASHBOARD!$L$9:$M$11,2,0)*12-P160),"")</f>
        <v/>
      </c>
      <c r="U160" s="20"/>
      <c r="V160" s="20"/>
      <c r="W160" s="20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 t="s">
        <v>144</v>
      </c>
      <c r="AK160" s="23" t="s">
        <v>144</v>
      </c>
    </row>
    <row r="161" spans="1:37" x14ac:dyDescent="0.25">
      <c r="A161" s="20"/>
      <c r="B161" s="20"/>
      <c r="C161" s="20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 t="str">
        <f t="shared" si="2"/>
        <v/>
      </c>
      <c r="Q161" s="23" t="str">
        <f>_xlfn.IFNA(IF(SUM(D161:O161)=0,VLOOKUP(C161,DASHBOARD!$L$9:$M$11,2,0)*12,VLOOKUP(C161,DASHBOARD!$L$9:$M$11,2,0)*12-P161),"")</f>
        <v/>
      </c>
      <c r="U161" s="20"/>
      <c r="V161" s="20"/>
      <c r="W161" s="20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 t="s">
        <v>144</v>
      </c>
      <c r="AK161" s="23" t="s">
        <v>144</v>
      </c>
    </row>
    <row r="162" spans="1:37" x14ac:dyDescent="0.25">
      <c r="A162" s="20"/>
      <c r="B162" s="20"/>
      <c r="C162" s="20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 t="str">
        <f t="shared" si="2"/>
        <v/>
      </c>
      <c r="Q162" s="23" t="str">
        <f>_xlfn.IFNA(IF(SUM(D162:O162)=0,VLOOKUP(C162,DASHBOARD!$L$9:$M$11,2,0)*12,VLOOKUP(C162,DASHBOARD!$L$9:$M$11,2,0)*12-P162),"")</f>
        <v/>
      </c>
      <c r="U162" s="20"/>
      <c r="V162" s="20"/>
      <c r="W162" s="20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 t="s">
        <v>144</v>
      </c>
      <c r="AK162" s="23" t="s">
        <v>144</v>
      </c>
    </row>
    <row r="163" spans="1:37" x14ac:dyDescent="0.25">
      <c r="A163" s="20"/>
      <c r="B163" s="20"/>
      <c r="C163" s="20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 t="str">
        <f t="shared" si="2"/>
        <v/>
      </c>
      <c r="Q163" s="23" t="str">
        <f>_xlfn.IFNA(IF(SUM(D163:O163)=0,VLOOKUP(C163,DASHBOARD!$L$9:$M$11,2,0)*12,VLOOKUP(C163,DASHBOARD!$L$9:$M$11,2,0)*12-P163),"")</f>
        <v/>
      </c>
      <c r="U163" s="20"/>
      <c r="V163" s="20"/>
      <c r="W163" s="20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 t="s">
        <v>144</v>
      </c>
      <c r="AK163" s="23" t="s">
        <v>144</v>
      </c>
    </row>
    <row r="164" spans="1:37" x14ac:dyDescent="0.25">
      <c r="A164" s="20"/>
      <c r="B164" s="20"/>
      <c r="C164" s="20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 t="str">
        <f t="shared" si="2"/>
        <v/>
      </c>
      <c r="Q164" s="23" t="str">
        <f>_xlfn.IFNA(IF(SUM(D164:O164)=0,VLOOKUP(C164,DASHBOARD!$L$9:$M$11,2,0)*12,VLOOKUP(C164,DASHBOARD!$L$9:$M$11,2,0)*12-P164),"")</f>
        <v/>
      </c>
      <c r="U164" s="20"/>
      <c r="V164" s="20"/>
      <c r="W164" s="20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 t="s">
        <v>144</v>
      </c>
      <c r="AK164" s="23" t="s">
        <v>144</v>
      </c>
    </row>
    <row r="165" spans="1:37" x14ac:dyDescent="0.25">
      <c r="A165" s="20"/>
      <c r="B165" s="20"/>
      <c r="C165" s="20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 t="str">
        <f t="shared" si="2"/>
        <v/>
      </c>
      <c r="Q165" s="23" t="str">
        <f>_xlfn.IFNA(IF(SUM(D165:O165)=0,VLOOKUP(C165,DASHBOARD!$L$9:$M$11,2,0)*12,VLOOKUP(C165,DASHBOARD!$L$9:$M$11,2,0)*12-P165),"")</f>
        <v/>
      </c>
      <c r="U165" s="20"/>
      <c r="V165" s="20"/>
      <c r="W165" s="20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 t="s">
        <v>144</v>
      </c>
      <c r="AK165" s="23" t="s">
        <v>144</v>
      </c>
    </row>
    <row r="166" spans="1:37" x14ac:dyDescent="0.25">
      <c r="A166" s="20"/>
      <c r="B166" s="20"/>
      <c r="C166" s="2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 t="str">
        <f t="shared" si="2"/>
        <v/>
      </c>
      <c r="Q166" s="23" t="str">
        <f>_xlfn.IFNA(IF(SUM(D166:O166)=0,VLOOKUP(C166,DASHBOARD!$L$9:$M$11,2,0)*12,VLOOKUP(C166,DASHBOARD!$L$9:$M$11,2,0)*12-P166),"")</f>
        <v/>
      </c>
      <c r="U166" s="20"/>
      <c r="V166" s="20"/>
      <c r="W166" s="20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 t="s">
        <v>144</v>
      </c>
      <c r="AK166" s="23" t="s">
        <v>144</v>
      </c>
    </row>
    <row r="167" spans="1:37" x14ac:dyDescent="0.25">
      <c r="A167" s="20"/>
      <c r="B167" s="20"/>
      <c r="C167" s="20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 t="str">
        <f t="shared" si="2"/>
        <v/>
      </c>
      <c r="Q167" s="23" t="str">
        <f>_xlfn.IFNA(IF(SUM(D167:O167)=0,VLOOKUP(C167,DASHBOARD!$L$9:$M$11,2,0)*12,VLOOKUP(C167,DASHBOARD!$L$9:$M$11,2,0)*12-P167),"")</f>
        <v/>
      </c>
      <c r="U167" s="20"/>
      <c r="V167" s="20"/>
      <c r="W167" s="20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 t="s">
        <v>144</v>
      </c>
      <c r="AK167" s="23" t="s">
        <v>144</v>
      </c>
    </row>
    <row r="168" spans="1:37" x14ac:dyDescent="0.25">
      <c r="A168" s="20"/>
      <c r="B168" s="20"/>
      <c r="C168" s="2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 t="str">
        <f t="shared" si="2"/>
        <v/>
      </c>
      <c r="Q168" s="23" t="str">
        <f>_xlfn.IFNA(IF(SUM(D168:O168)=0,VLOOKUP(C168,DASHBOARD!$L$9:$M$11,2,0)*12,VLOOKUP(C168,DASHBOARD!$L$9:$M$11,2,0)*12-P168),"")</f>
        <v/>
      </c>
      <c r="U168" s="20"/>
      <c r="V168" s="20"/>
      <c r="W168" s="20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 t="s">
        <v>144</v>
      </c>
      <c r="AK168" s="23" t="s">
        <v>144</v>
      </c>
    </row>
    <row r="169" spans="1:37" x14ac:dyDescent="0.25">
      <c r="A169" s="20"/>
      <c r="B169" s="20"/>
      <c r="C169" s="20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 t="str">
        <f t="shared" si="2"/>
        <v/>
      </c>
      <c r="Q169" s="23" t="str">
        <f>_xlfn.IFNA(IF(SUM(D169:O169)=0,VLOOKUP(C169,DASHBOARD!$L$9:$M$11,2,0)*12,VLOOKUP(C169,DASHBOARD!$L$9:$M$11,2,0)*12-P169),"")</f>
        <v/>
      </c>
      <c r="U169" s="20"/>
      <c r="V169" s="20"/>
      <c r="W169" s="20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 t="s">
        <v>144</v>
      </c>
      <c r="AK169" s="23" t="s">
        <v>144</v>
      </c>
    </row>
    <row r="170" spans="1:37" x14ac:dyDescent="0.25">
      <c r="A170" s="20"/>
      <c r="B170" s="20"/>
      <c r="C170" s="20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 t="str">
        <f t="shared" si="2"/>
        <v/>
      </c>
      <c r="Q170" s="23" t="str">
        <f>_xlfn.IFNA(IF(SUM(D170:O170)=0,VLOOKUP(C170,DASHBOARD!$L$9:$M$11,2,0)*12,VLOOKUP(C170,DASHBOARD!$L$9:$M$11,2,0)*12-P170),"")</f>
        <v/>
      </c>
      <c r="U170" s="20"/>
      <c r="V170" s="20"/>
      <c r="W170" s="20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 t="s">
        <v>144</v>
      </c>
      <c r="AK170" s="23" t="s">
        <v>144</v>
      </c>
    </row>
    <row r="171" spans="1:37" x14ac:dyDescent="0.25">
      <c r="A171" s="20"/>
      <c r="B171" s="20"/>
      <c r="C171" s="20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 t="str">
        <f t="shared" si="2"/>
        <v/>
      </c>
      <c r="Q171" s="23" t="str">
        <f>_xlfn.IFNA(IF(SUM(D171:O171)=0,VLOOKUP(C171,DASHBOARD!$L$9:$M$11,2,0)*12,VLOOKUP(C171,DASHBOARD!$L$9:$M$11,2,0)*12-P171),"")</f>
        <v/>
      </c>
      <c r="U171" s="20"/>
      <c r="V171" s="20"/>
      <c r="W171" s="20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 t="s">
        <v>144</v>
      </c>
      <c r="AK171" s="23" t="s">
        <v>144</v>
      </c>
    </row>
    <row r="172" spans="1:37" x14ac:dyDescent="0.25">
      <c r="A172" s="20"/>
      <c r="B172" s="20"/>
      <c r="C172" s="20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 t="str">
        <f t="shared" si="2"/>
        <v/>
      </c>
      <c r="Q172" s="23" t="str">
        <f>_xlfn.IFNA(IF(SUM(D172:O172)=0,VLOOKUP(C172,DASHBOARD!$L$9:$M$11,2,0)*12,VLOOKUP(C172,DASHBOARD!$L$9:$M$11,2,0)*12-P172),"")</f>
        <v/>
      </c>
      <c r="U172" s="20"/>
      <c r="V172" s="20"/>
      <c r="W172" s="20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 t="s">
        <v>144</v>
      </c>
      <c r="AK172" s="23" t="s">
        <v>144</v>
      </c>
    </row>
    <row r="173" spans="1:37" x14ac:dyDescent="0.25">
      <c r="A173" s="20"/>
      <c r="B173" s="20"/>
      <c r="C173" s="20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 t="str">
        <f t="shared" si="2"/>
        <v/>
      </c>
      <c r="Q173" s="23" t="str">
        <f>_xlfn.IFNA(IF(SUM(D173:O173)=0,VLOOKUP(C173,DASHBOARD!$L$9:$M$11,2,0)*12,VLOOKUP(C173,DASHBOARD!$L$9:$M$11,2,0)*12-P173),"")</f>
        <v/>
      </c>
      <c r="U173" s="20"/>
      <c r="V173" s="20"/>
      <c r="W173" s="20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 t="s">
        <v>144</v>
      </c>
      <c r="AK173" s="23" t="s">
        <v>144</v>
      </c>
    </row>
    <row r="174" spans="1:37" x14ac:dyDescent="0.25">
      <c r="A174" s="20"/>
      <c r="B174" s="20"/>
      <c r="C174" s="2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 t="str">
        <f t="shared" si="2"/>
        <v/>
      </c>
      <c r="Q174" s="23" t="str">
        <f>_xlfn.IFNA(IF(SUM(D174:O174)=0,VLOOKUP(C174,DASHBOARD!$L$9:$M$11,2,0)*12,VLOOKUP(C174,DASHBOARD!$L$9:$M$11,2,0)*12-P174),"")</f>
        <v/>
      </c>
      <c r="U174" s="20"/>
      <c r="V174" s="20"/>
      <c r="W174" s="20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 t="s">
        <v>144</v>
      </c>
      <c r="AK174" s="23" t="s">
        <v>144</v>
      </c>
    </row>
    <row r="175" spans="1:37" x14ac:dyDescent="0.25">
      <c r="A175" s="20"/>
      <c r="B175" s="20"/>
      <c r="C175" s="2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 t="str">
        <f t="shared" si="2"/>
        <v/>
      </c>
      <c r="Q175" s="23" t="str">
        <f>_xlfn.IFNA(IF(SUM(D175:O175)=0,VLOOKUP(C175,DASHBOARD!$L$9:$M$11,2,0)*12,VLOOKUP(C175,DASHBOARD!$L$9:$M$11,2,0)*12-P175),"")</f>
        <v/>
      </c>
      <c r="U175" s="20"/>
      <c r="V175" s="20"/>
      <c r="W175" s="20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 t="s">
        <v>144</v>
      </c>
      <c r="AK175" s="23" t="s">
        <v>144</v>
      </c>
    </row>
    <row r="176" spans="1:37" x14ac:dyDescent="0.25">
      <c r="A176" s="20"/>
      <c r="B176" s="20"/>
      <c r="C176" s="20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 t="str">
        <f t="shared" si="2"/>
        <v/>
      </c>
      <c r="Q176" s="23" t="str">
        <f>_xlfn.IFNA(IF(SUM(D176:O176)=0,VLOOKUP(C176,DASHBOARD!$L$9:$M$11,2,0)*12,VLOOKUP(C176,DASHBOARD!$L$9:$M$11,2,0)*12-P176),"")</f>
        <v/>
      </c>
      <c r="U176" s="20"/>
      <c r="V176" s="20"/>
      <c r="W176" s="20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 t="s">
        <v>144</v>
      </c>
      <c r="AK176" s="23" t="s">
        <v>144</v>
      </c>
    </row>
    <row r="177" spans="1:37" x14ac:dyDescent="0.25">
      <c r="A177" s="20"/>
      <c r="B177" s="20"/>
      <c r="C177" s="20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 t="str">
        <f t="shared" si="2"/>
        <v/>
      </c>
      <c r="Q177" s="23" t="str">
        <f>_xlfn.IFNA(IF(SUM(D177:O177)=0,VLOOKUP(C177,DASHBOARD!$L$9:$M$11,2,0)*12,VLOOKUP(C177,DASHBOARD!$L$9:$M$11,2,0)*12-P177),"")</f>
        <v/>
      </c>
      <c r="U177" s="20"/>
      <c r="V177" s="20"/>
      <c r="W177" s="20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 t="s">
        <v>144</v>
      </c>
      <c r="AK177" s="23" t="s">
        <v>144</v>
      </c>
    </row>
    <row r="178" spans="1:37" x14ac:dyDescent="0.25">
      <c r="A178" s="20"/>
      <c r="B178" s="20"/>
      <c r="C178" s="20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 t="str">
        <f t="shared" si="2"/>
        <v/>
      </c>
      <c r="Q178" s="23" t="str">
        <f>_xlfn.IFNA(IF(SUM(D178:O178)=0,VLOOKUP(C178,DASHBOARD!$L$9:$M$11,2,0)*12,VLOOKUP(C178,DASHBOARD!$L$9:$M$11,2,0)*12-P178),"")</f>
        <v/>
      </c>
      <c r="U178" s="20"/>
      <c r="V178" s="20"/>
      <c r="W178" s="20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 t="s">
        <v>144</v>
      </c>
      <c r="AK178" s="23" t="s">
        <v>144</v>
      </c>
    </row>
    <row r="179" spans="1:37" x14ac:dyDescent="0.25">
      <c r="A179" s="20"/>
      <c r="B179" s="20"/>
      <c r="C179" s="20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 t="str">
        <f t="shared" si="2"/>
        <v/>
      </c>
      <c r="Q179" s="23" t="str">
        <f>_xlfn.IFNA(IF(SUM(D179:O179)=0,VLOOKUP(C179,DASHBOARD!$L$9:$M$11,2,0)*12,VLOOKUP(C179,DASHBOARD!$L$9:$M$11,2,0)*12-P179),"")</f>
        <v/>
      </c>
      <c r="U179" s="20"/>
      <c r="V179" s="20"/>
      <c r="W179" s="20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 t="s">
        <v>144</v>
      </c>
      <c r="AK179" s="23" t="s">
        <v>144</v>
      </c>
    </row>
    <row r="180" spans="1:37" x14ac:dyDescent="0.25">
      <c r="A180" s="20"/>
      <c r="B180" s="20"/>
      <c r="C180" s="20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 t="str">
        <f t="shared" si="2"/>
        <v/>
      </c>
      <c r="Q180" s="23" t="str">
        <f>_xlfn.IFNA(IF(SUM(D180:O180)=0,VLOOKUP(C180,DASHBOARD!$L$9:$M$11,2,0)*12,VLOOKUP(C180,DASHBOARD!$L$9:$M$11,2,0)*12-P180),"")</f>
        <v/>
      </c>
      <c r="U180" s="20"/>
      <c r="V180" s="20"/>
      <c r="W180" s="20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 t="s">
        <v>144</v>
      </c>
      <c r="AK180" s="23" t="s">
        <v>144</v>
      </c>
    </row>
    <row r="181" spans="1:37" x14ac:dyDescent="0.25">
      <c r="A181" s="20"/>
      <c r="B181" s="20"/>
      <c r="C181" s="20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 t="str">
        <f t="shared" si="2"/>
        <v/>
      </c>
      <c r="Q181" s="23" t="str">
        <f>_xlfn.IFNA(IF(SUM(D181:O181)=0,VLOOKUP(C181,DASHBOARD!$L$9:$M$11,2,0)*12,VLOOKUP(C181,DASHBOARD!$L$9:$M$11,2,0)*12-P181),"")</f>
        <v/>
      </c>
      <c r="U181" s="20"/>
      <c r="V181" s="20"/>
      <c r="W181" s="20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 t="s">
        <v>144</v>
      </c>
      <c r="AK181" s="23" t="s">
        <v>144</v>
      </c>
    </row>
    <row r="182" spans="1:37" x14ac:dyDescent="0.25">
      <c r="A182" s="20"/>
      <c r="B182" s="20"/>
      <c r="C182" s="20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 t="str">
        <f t="shared" si="2"/>
        <v/>
      </c>
      <c r="Q182" s="23" t="str">
        <f>_xlfn.IFNA(IF(SUM(D182:O182)=0,VLOOKUP(C182,DASHBOARD!$L$9:$M$11,2,0)*12,VLOOKUP(C182,DASHBOARD!$L$9:$M$11,2,0)*12-P182),"")</f>
        <v/>
      </c>
      <c r="U182" s="20"/>
      <c r="V182" s="20"/>
      <c r="W182" s="20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 t="s">
        <v>144</v>
      </c>
      <c r="AK182" s="23" t="s">
        <v>144</v>
      </c>
    </row>
    <row r="183" spans="1:37" x14ac:dyDescent="0.25">
      <c r="A183" s="20"/>
      <c r="B183" s="20"/>
      <c r="C183" s="20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 t="str">
        <f t="shared" si="2"/>
        <v/>
      </c>
      <c r="Q183" s="23" t="str">
        <f>_xlfn.IFNA(IF(SUM(D183:O183)=0,VLOOKUP(C183,DASHBOARD!$L$9:$M$11,2,0)*12,VLOOKUP(C183,DASHBOARD!$L$9:$M$11,2,0)*12-P183),"")</f>
        <v/>
      </c>
      <c r="U183" s="20"/>
      <c r="V183" s="20"/>
      <c r="W183" s="20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 t="s">
        <v>144</v>
      </c>
      <c r="AK183" s="23" t="s">
        <v>144</v>
      </c>
    </row>
    <row r="184" spans="1:37" x14ac:dyDescent="0.25">
      <c r="A184" s="20"/>
      <c r="B184" s="20"/>
      <c r="C184" s="20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 t="str">
        <f t="shared" si="2"/>
        <v/>
      </c>
      <c r="Q184" s="23" t="str">
        <f>_xlfn.IFNA(IF(SUM(D184:O184)=0,VLOOKUP(C184,DASHBOARD!$L$9:$M$11,2,0)*12,VLOOKUP(C184,DASHBOARD!$L$9:$M$11,2,0)*12-P184),"")</f>
        <v/>
      </c>
      <c r="U184" s="20"/>
      <c r="V184" s="20"/>
      <c r="W184" s="20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 t="s">
        <v>144</v>
      </c>
      <c r="AK184" s="23" t="s">
        <v>144</v>
      </c>
    </row>
    <row r="185" spans="1:37" x14ac:dyDescent="0.25">
      <c r="A185" s="20"/>
      <c r="B185" s="20"/>
      <c r="C185" s="20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 t="str">
        <f t="shared" si="2"/>
        <v/>
      </c>
      <c r="Q185" s="23" t="str">
        <f>_xlfn.IFNA(IF(SUM(D185:O185)=0,VLOOKUP(C185,DASHBOARD!$L$9:$M$11,2,0)*12,VLOOKUP(C185,DASHBOARD!$L$9:$M$11,2,0)*12-P185),"")</f>
        <v/>
      </c>
      <c r="U185" s="20"/>
      <c r="V185" s="20"/>
      <c r="W185" s="20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 t="s">
        <v>144</v>
      </c>
      <c r="AK185" s="23" t="s">
        <v>144</v>
      </c>
    </row>
    <row r="186" spans="1:37" x14ac:dyDescent="0.25">
      <c r="A186" s="20"/>
      <c r="B186" s="20"/>
      <c r="C186" s="20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 t="str">
        <f t="shared" si="2"/>
        <v/>
      </c>
      <c r="Q186" s="23" t="str">
        <f>_xlfn.IFNA(IF(SUM(D186:O186)=0,VLOOKUP(C186,DASHBOARD!$L$9:$M$11,2,0)*12,VLOOKUP(C186,DASHBOARD!$L$9:$M$11,2,0)*12-P186),"")</f>
        <v/>
      </c>
      <c r="U186" s="20"/>
      <c r="V186" s="20"/>
      <c r="W186" s="20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 t="s">
        <v>144</v>
      </c>
      <c r="AK186" s="23" t="s">
        <v>144</v>
      </c>
    </row>
    <row r="187" spans="1:37" x14ac:dyDescent="0.25">
      <c r="A187" s="20"/>
      <c r="B187" s="20"/>
      <c r="C187" s="20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 t="str">
        <f t="shared" si="2"/>
        <v/>
      </c>
      <c r="Q187" s="23" t="str">
        <f>_xlfn.IFNA(IF(SUM(D187:O187)=0,VLOOKUP(C187,DASHBOARD!$L$9:$M$11,2,0)*12,VLOOKUP(C187,DASHBOARD!$L$9:$M$11,2,0)*12-P187),"")</f>
        <v/>
      </c>
      <c r="U187" s="20"/>
      <c r="V187" s="20"/>
      <c r="W187" s="20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 t="s">
        <v>144</v>
      </c>
      <c r="AK187" s="23" t="s">
        <v>144</v>
      </c>
    </row>
    <row r="188" spans="1:37" x14ac:dyDescent="0.25">
      <c r="A188" s="20"/>
      <c r="B188" s="20"/>
      <c r="C188" s="20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 t="str">
        <f t="shared" si="2"/>
        <v/>
      </c>
      <c r="Q188" s="23" t="str">
        <f>_xlfn.IFNA(IF(SUM(D188:O188)=0,VLOOKUP(C188,DASHBOARD!$L$9:$M$11,2,0)*12,VLOOKUP(C188,DASHBOARD!$L$9:$M$11,2,0)*12-P188),"")</f>
        <v/>
      </c>
      <c r="U188" s="20"/>
      <c r="V188" s="20"/>
      <c r="W188" s="20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 t="s">
        <v>144</v>
      </c>
      <c r="AK188" s="23" t="s">
        <v>144</v>
      </c>
    </row>
    <row r="189" spans="1:37" x14ac:dyDescent="0.25">
      <c r="A189" s="20"/>
      <c r="B189" s="20"/>
      <c r="C189" s="20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 t="str">
        <f t="shared" si="2"/>
        <v/>
      </c>
      <c r="Q189" s="23" t="str">
        <f>_xlfn.IFNA(IF(SUM(D189:O189)=0,VLOOKUP(C189,DASHBOARD!$L$9:$M$11,2,0)*12,VLOOKUP(C189,DASHBOARD!$L$9:$M$11,2,0)*12-P189),"")</f>
        <v/>
      </c>
      <c r="U189" s="20"/>
      <c r="V189" s="20"/>
      <c r="W189" s="20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 t="s">
        <v>144</v>
      </c>
      <c r="AK189" s="23" t="s">
        <v>144</v>
      </c>
    </row>
    <row r="190" spans="1:37" x14ac:dyDescent="0.25">
      <c r="A190" s="20"/>
      <c r="B190" s="20"/>
      <c r="C190" s="20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 t="str">
        <f t="shared" si="2"/>
        <v/>
      </c>
      <c r="Q190" s="23" t="str">
        <f>_xlfn.IFNA(IF(SUM(D190:O190)=0,VLOOKUP(C190,DASHBOARD!$L$9:$M$11,2,0)*12,VLOOKUP(C190,DASHBOARD!$L$9:$M$11,2,0)*12-P190),"")</f>
        <v/>
      </c>
      <c r="U190" s="20"/>
      <c r="V190" s="20"/>
      <c r="W190" s="20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 t="s">
        <v>144</v>
      </c>
      <c r="AK190" s="23" t="s">
        <v>144</v>
      </c>
    </row>
    <row r="191" spans="1:37" x14ac:dyDescent="0.25">
      <c r="A191" s="20"/>
      <c r="B191" s="20"/>
      <c r="C191" s="20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 t="str">
        <f t="shared" si="2"/>
        <v/>
      </c>
      <c r="Q191" s="23" t="str">
        <f>_xlfn.IFNA(IF(SUM(D191:O191)=0,VLOOKUP(C191,DASHBOARD!$L$9:$M$11,2,0)*12,VLOOKUP(C191,DASHBOARD!$L$9:$M$11,2,0)*12-P191),"")</f>
        <v/>
      </c>
      <c r="U191" s="20"/>
      <c r="V191" s="20"/>
      <c r="W191" s="20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 t="s">
        <v>144</v>
      </c>
      <c r="AK191" s="23" t="s">
        <v>144</v>
      </c>
    </row>
    <row r="192" spans="1:37" x14ac:dyDescent="0.25">
      <c r="A192" s="20"/>
      <c r="B192" s="20"/>
      <c r="C192" s="20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 t="str">
        <f t="shared" si="2"/>
        <v/>
      </c>
      <c r="Q192" s="23" t="str">
        <f>_xlfn.IFNA(IF(SUM(D192:O192)=0,VLOOKUP(C192,DASHBOARD!$L$9:$M$11,2,0)*12,VLOOKUP(C192,DASHBOARD!$L$9:$M$11,2,0)*12-P192),"")</f>
        <v/>
      </c>
      <c r="U192" s="20"/>
      <c r="V192" s="20"/>
      <c r="W192" s="20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 t="s">
        <v>144</v>
      </c>
      <c r="AK192" s="23" t="s">
        <v>144</v>
      </c>
    </row>
    <row r="193" spans="1:37" x14ac:dyDescent="0.25">
      <c r="A193" s="20"/>
      <c r="B193" s="20"/>
      <c r="C193" s="20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 t="str">
        <f t="shared" si="2"/>
        <v/>
      </c>
      <c r="Q193" s="23" t="str">
        <f>_xlfn.IFNA(IF(SUM(D193:O193)=0,VLOOKUP(C193,DASHBOARD!$L$9:$M$11,2,0)*12,VLOOKUP(C193,DASHBOARD!$L$9:$M$11,2,0)*12-P193),"")</f>
        <v/>
      </c>
      <c r="U193" s="20"/>
      <c r="V193" s="20"/>
      <c r="W193" s="20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 t="s">
        <v>144</v>
      </c>
      <c r="AK193" s="23" t="s">
        <v>144</v>
      </c>
    </row>
    <row r="194" spans="1:37" x14ac:dyDescent="0.25">
      <c r="A194" s="20"/>
      <c r="B194" s="20"/>
      <c r="C194" s="20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 t="str">
        <f t="shared" si="2"/>
        <v/>
      </c>
      <c r="Q194" s="23" t="str">
        <f>_xlfn.IFNA(IF(SUM(D194:O194)=0,VLOOKUP(C194,DASHBOARD!$L$9:$M$11,2,0)*12,VLOOKUP(C194,DASHBOARD!$L$9:$M$11,2,0)*12-P194),"")</f>
        <v/>
      </c>
      <c r="U194" s="20"/>
      <c r="V194" s="20"/>
      <c r="W194" s="20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 t="s">
        <v>144</v>
      </c>
      <c r="AK194" s="23" t="s">
        <v>144</v>
      </c>
    </row>
    <row r="195" spans="1:37" x14ac:dyDescent="0.25">
      <c r="A195" s="20"/>
      <c r="B195" s="20"/>
      <c r="C195" s="20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 t="str">
        <f t="shared" si="2"/>
        <v/>
      </c>
      <c r="Q195" s="23" t="str">
        <f>_xlfn.IFNA(IF(SUM(D195:O195)=0,VLOOKUP(C195,DASHBOARD!$L$9:$M$11,2,0)*12,VLOOKUP(C195,DASHBOARD!$L$9:$M$11,2,0)*12-P195),"")</f>
        <v/>
      </c>
      <c r="U195" s="20"/>
      <c r="V195" s="20"/>
      <c r="W195" s="20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 t="s">
        <v>144</v>
      </c>
      <c r="AK195" s="23" t="s">
        <v>144</v>
      </c>
    </row>
    <row r="196" spans="1:37" x14ac:dyDescent="0.25">
      <c r="A196" s="20"/>
      <c r="B196" s="20"/>
      <c r="C196" s="20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 t="str">
        <f t="shared" si="2"/>
        <v/>
      </c>
      <c r="Q196" s="23" t="str">
        <f>_xlfn.IFNA(IF(SUM(D196:O196)=0,VLOOKUP(C196,DASHBOARD!$L$9:$M$11,2,0)*12,VLOOKUP(C196,DASHBOARD!$L$9:$M$11,2,0)*12-P196),"")</f>
        <v/>
      </c>
      <c r="U196" s="20"/>
      <c r="V196" s="20"/>
      <c r="W196" s="20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 t="s">
        <v>144</v>
      </c>
      <c r="AK196" s="23" t="s">
        <v>144</v>
      </c>
    </row>
    <row r="197" spans="1:37" x14ac:dyDescent="0.25">
      <c r="A197" s="20"/>
      <c r="B197" s="20"/>
      <c r="C197" s="20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 t="str">
        <f t="shared" ref="P197:P260" si="3">IF(SUM(D197:O197)=0,"",SUM(D197:O197))</f>
        <v/>
      </c>
      <c r="Q197" s="23" t="str">
        <f>_xlfn.IFNA(IF(SUM(D197:O197)=0,VLOOKUP(C197,DASHBOARD!$L$9:$M$11,2,0)*12,VLOOKUP(C197,DASHBOARD!$L$9:$M$11,2,0)*12-P197),"")</f>
        <v/>
      </c>
      <c r="U197" s="20"/>
      <c r="V197" s="20"/>
      <c r="W197" s="20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 t="s">
        <v>144</v>
      </c>
      <c r="AK197" s="23" t="s">
        <v>144</v>
      </c>
    </row>
    <row r="198" spans="1:37" x14ac:dyDescent="0.25">
      <c r="A198" s="20"/>
      <c r="B198" s="20"/>
      <c r="C198" s="20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 t="str">
        <f t="shared" si="3"/>
        <v/>
      </c>
      <c r="Q198" s="23" t="str">
        <f>_xlfn.IFNA(IF(SUM(D198:O198)=0,VLOOKUP(C198,DASHBOARD!$L$9:$M$11,2,0)*12,VLOOKUP(C198,DASHBOARD!$L$9:$M$11,2,0)*12-P198),"")</f>
        <v/>
      </c>
      <c r="U198" s="20"/>
      <c r="V198" s="20"/>
      <c r="W198" s="20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 t="s">
        <v>144</v>
      </c>
      <c r="AK198" s="23" t="s">
        <v>144</v>
      </c>
    </row>
    <row r="199" spans="1:37" x14ac:dyDescent="0.25">
      <c r="A199" s="20"/>
      <c r="B199" s="20"/>
      <c r="C199" s="20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 t="str">
        <f t="shared" si="3"/>
        <v/>
      </c>
      <c r="Q199" s="23" t="str">
        <f>_xlfn.IFNA(IF(SUM(D199:O199)=0,VLOOKUP(C199,DASHBOARD!$L$9:$M$11,2,0)*12,VLOOKUP(C199,DASHBOARD!$L$9:$M$11,2,0)*12-P199),"")</f>
        <v/>
      </c>
      <c r="U199" s="20"/>
      <c r="V199" s="20"/>
      <c r="W199" s="20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 t="s">
        <v>144</v>
      </c>
      <c r="AK199" s="23" t="s">
        <v>144</v>
      </c>
    </row>
    <row r="200" spans="1:37" x14ac:dyDescent="0.25">
      <c r="A200" s="20"/>
      <c r="B200" s="20"/>
      <c r="C200" s="20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 t="str">
        <f t="shared" si="3"/>
        <v/>
      </c>
      <c r="Q200" s="23" t="str">
        <f>_xlfn.IFNA(IF(SUM(D200:O200)=0,VLOOKUP(C200,DASHBOARD!$L$9:$M$11,2,0)*12,VLOOKUP(C200,DASHBOARD!$L$9:$M$11,2,0)*12-P200),"")</f>
        <v/>
      </c>
      <c r="U200" s="20"/>
      <c r="V200" s="20"/>
      <c r="W200" s="20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 t="s">
        <v>144</v>
      </c>
      <c r="AK200" s="23" t="s">
        <v>144</v>
      </c>
    </row>
    <row r="201" spans="1:37" x14ac:dyDescent="0.25">
      <c r="A201" s="20"/>
      <c r="B201" s="20"/>
      <c r="C201" s="20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 t="str">
        <f t="shared" si="3"/>
        <v/>
      </c>
      <c r="Q201" s="23" t="str">
        <f>_xlfn.IFNA(IF(SUM(D201:O201)=0,VLOOKUP(C201,DASHBOARD!$L$9:$M$11,2,0)*12,VLOOKUP(C201,DASHBOARD!$L$9:$M$11,2,0)*12-P201),"")</f>
        <v/>
      </c>
      <c r="U201" s="20"/>
      <c r="V201" s="20"/>
      <c r="W201" s="20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 t="s">
        <v>144</v>
      </c>
      <c r="AK201" s="23" t="s">
        <v>144</v>
      </c>
    </row>
    <row r="202" spans="1:37" x14ac:dyDescent="0.25">
      <c r="A202" s="20"/>
      <c r="B202" s="20"/>
      <c r="C202" s="20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 t="str">
        <f t="shared" si="3"/>
        <v/>
      </c>
      <c r="Q202" s="23" t="str">
        <f>_xlfn.IFNA(IF(SUM(D202:O202)=0,VLOOKUP(C202,DASHBOARD!$L$9:$M$11,2,0)*12,VLOOKUP(C202,DASHBOARD!$L$9:$M$11,2,0)*12-P202),"")</f>
        <v/>
      </c>
      <c r="U202" s="20"/>
      <c r="V202" s="20"/>
      <c r="W202" s="20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 t="s">
        <v>144</v>
      </c>
      <c r="AK202" s="23" t="s">
        <v>144</v>
      </c>
    </row>
    <row r="203" spans="1:37" x14ac:dyDescent="0.25">
      <c r="A203" s="20"/>
      <c r="B203" s="20"/>
      <c r="C203" s="20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 t="str">
        <f t="shared" si="3"/>
        <v/>
      </c>
      <c r="Q203" s="23" t="str">
        <f>_xlfn.IFNA(IF(SUM(D203:O203)=0,VLOOKUP(C203,DASHBOARD!$L$9:$M$11,2,0)*12,VLOOKUP(C203,DASHBOARD!$L$9:$M$11,2,0)*12-P203),"")</f>
        <v/>
      </c>
      <c r="U203" s="20"/>
      <c r="V203" s="20"/>
      <c r="W203" s="20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 t="s">
        <v>144</v>
      </c>
      <c r="AK203" s="23" t="s">
        <v>144</v>
      </c>
    </row>
    <row r="204" spans="1:37" x14ac:dyDescent="0.25">
      <c r="A204" s="20"/>
      <c r="B204" s="20"/>
      <c r="C204" s="20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 t="str">
        <f t="shared" si="3"/>
        <v/>
      </c>
      <c r="Q204" s="23" t="str">
        <f>_xlfn.IFNA(IF(SUM(D204:O204)=0,VLOOKUP(C204,DASHBOARD!$L$9:$M$11,2,0)*12,VLOOKUP(C204,DASHBOARD!$L$9:$M$11,2,0)*12-P204),"")</f>
        <v/>
      </c>
      <c r="U204" s="20"/>
      <c r="V204" s="20"/>
      <c r="W204" s="20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 t="s">
        <v>144</v>
      </c>
      <c r="AK204" s="23" t="s">
        <v>144</v>
      </c>
    </row>
    <row r="205" spans="1:37" x14ac:dyDescent="0.25">
      <c r="A205" s="20"/>
      <c r="B205" s="20"/>
      <c r="C205" s="20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 t="str">
        <f t="shared" si="3"/>
        <v/>
      </c>
      <c r="Q205" s="23" t="str">
        <f>_xlfn.IFNA(IF(SUM(D205:O205)=0,VLOOKUP(C205,DASHBOARD!$L$9:$M$11,2,0)*12,VLOOKUP(C205,DASHBOARD!$L$9:$M$11,2,0)*12-P205),"")</f>
        <v/>
      </c>
      <c r="U205" s="20"/>
      <c r="V205" s="20"/>
      <c r="W205" s="20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 t="s">
        <v>144</v>
      </c>
      <c r="AK205" s="23" t="s">
        <v>144</v>
      </c>
    </row>
    <row r="206" spans="1:37" x14ac:dyDescent="0.25">
      <c r="A206" s="20"/>
      <c r="B206" s="20"/>
      <c r="C206" s="20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 t="str">
        <f t="shared" si="3"/>
        <v/>
      </c>
      <c r="Q206" s="23" t="str">
        <f>_xlfn.IFNA(IF(SUM(D206:O206)=0,VLOOKUP(C206,DASHBOARD!$L$9:$M$11,2,0)*12,VLOOKUP(C206,DASHBOARD!$L$9:$M$11,2,0)*12-P206),"")</f>
        <v/>
      </c>
      <c r="U206" s="20"/>
      <c r="V206" s="20"/>
      <c r="W206" s="20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 t="s">
        <v>144</v>
      </c>
      <c r="AK206" s="23" t="s">
        <v>144</v>
      </c>
    </row>
    <row r="207" spans="1:37" x14ac:dyDescent="0.25">
      <c r="A207" s="20"/>
      <c r="B207" s="20"/>
      <c r="C207" s="20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 t="str">
        <f t="shared" si="3"/>
        <v/>
      </c>
      <c r="Q207" s="23" t="str">
        <f>_xlfn.IFNA(IF(SUM(D207:O207)=0,VLOOKUP(C207,DASHBOARD!$L$9:$M$11,2,0)*12,VLOOKUP(C207,DASHBOARD!$L$9:$M$11,2,0)*12-P207),"")</f>
        <v/>
      </c>
      <c r="U207" s="20"/>
      <c r="V207" s="20"/>
      <c r="W207" s="20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 t="s">
        <v>144</v>
      </c>
      <c r="AK207" s="23" t="s">
        <v>144</v>
      </c>
    </row>
    <row r="208" spans="1:37" x14ac:dyDescent="0.25">
      <c r="A208" s="20"/>
      <c r="B208" s="20"/>
      <c r="C208" s="20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 t="str">
        <f t="shared" si="3"/>
        <v/>
      </c>
      <c r="Q208" s="23" t="str">
        <f>_xlfn.IFNA(IF(SUM(D208:O208)=0,VLOOKUP(C208,DASHBOARD!$L$9:$M$11,2,0)*12,VLOOKUP(C208,DASHBOARD!$L$9:$M$11,2,0)*12-P208),"")</f>
        <v/>
      </c>
      <c r="U208" s="20"/>
      <c r="V208" s="20"/>
      <c r="W208" s="20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 t="s">
        <v>144</v>
      </c>
      <c r="AK208" s="23" t="s">
        <v>144</v>
      </c>
    </row>
    <row r="209" spans="1:37" x14ac:dyDescent="0.25">
      <c r="A209" s="20"/>
      <c r="B209" s="20"/>
      <c r="C209" s="20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 t="str">
        <f t="shared" si="3"/>
        <v/>
      </c>
      <c r="Q209" s="23" t="str">
        <f>_xlfn.IFNA(IF(SUM(D209:O209)=0,VLOOKUP(C209,DASHBOARD!$L$9:$M$11,2,0)*12,VLOOKUP(C209,DASHBOARD!$L$9:$M$11,2,0)*12-P209),"")</f>
        <v/>
      </c>
      <c r="U209" s="20"/>
      <c r="V209" s="20"/>
      <c r="W209" s="20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 t="s">
        <v>144</v>
      </c>
      <c r="AK209" s="23" t="s">
        <v>144</v>
      </c>
    </row>
    <row r="210" spans="1:37" x14ac:dyDescent="0.25">
      <c r="A210" s="20"/>
      <c r="B210" s="20"/>
      <c r="C210" s="20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 t="str">
        <f t="shared" si="3"/>
        <v/>
      </c>
      <c r="Q210" s="23" t="str">
        <f>_xlfn.IFNA(IF(SUM(D210:O210)=0,VLOOKUP(C210,DASHBOARD!$L$9:$M$11,2,0)*12,VLOOKUP(C210,DASHBOARD!$L$9:$M$11,2,0)*12-P210),"")</f>
        <v/>
      </c>
      <c r="U210" s="20"/>
      <c r="V210" s="20"/>
      <c r="W210" s="20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 t="s">
        <v>144</v>
      </c>
      <c r="AK210" s="23" t="s">
        <v>144</v>
      </c>
    </row>
    <row r="211" spans="1:37" x14ac:dyDescent="0.25">
      <c r="A211" s="20"/>
      <c r="B211" s="20"/>
      <c r="C211" s="20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 t="str">
        <f t="shared" si="3"/>
        <v/>
      </c>
      <c r="Q211" s="23" t="str">
        <f>_xlfn.IFNA(IF(SUM(D211:O211)=0,VLOOKUP(C211,DASHBOARD!$L$9:$M$11,2,0)*12,VLOOKUP(C211,DASHBOARD!$L$9:$M$11,2,0)*12-P211),"")</f>
        <v/>
      </c>
      <c r="U211" s="20"/>
      <c r="V211" s="20"/>
      <c r="W211" s="20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 t="s">
        <v>144</v>
      </c>
      <c r="AK211" s="23" t="s">
        <v>144</v>
      </c>
    </row>
    <row r="212" spans="1:37" x14ac:dyDescent="0.25">
      <c r="A212" s="20"/>
      <c r="B212" s="20"/>
      <c r="C212" s="20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 t="str">
        <f t="shared" si="3"/>
        <v/>
      </c>
      <c r="Q212" s="23" t="str">
        <f>_xlfn.IFNA(IF(SUM(D212:O212)=0,VLOOKUP(C212,DASHBOARD!$L$9:$M$11,2,0)*12,VLOOKUP(C212,DASHBOARD!$L$9:$M$11,2,0)*12-P212),"")</f>
        <v/>
      </c>
      <c r="U212" s="20"/>
      <c r="V212" s="20"/>
      <c r="W212" s="20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 t="s">
        <v>144</v>
      </c>
      <c r="AK212" s="23" t="s">
        <v>144</v>
      </c>
    </row>
    <row r="213" spans="1:37" x14ac:dyDescent="0.25">
      <c r="A213" s="20"/>
      <c r="B213" s="20"/>
      <c r="C213" s="20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 t="str">
        <f t="shared" si="3"/>
        <v/>
      </c>
      <c r="Q213" s="23" t="str">
        <f>_xlfn.IFNA(IF(SUM(D213:O213)=0,VLOOKUP(C213,DASHBOARD!$L$9:$M$11,2,0)*12,VLOOKUP(C213,DASHBOARD!$L$9:$M$11,2,0)*12-P213),"")</f>
        <v/>
      </c>
      <c r="U213" s="20"/>
      <c r="V213" s="20"/>
      <c r="W213" s="20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 t="s">
        <v>144</v>
      </c>
      <c r="AK213" s="23" t="s">
        <v>144</v>
      </c>
    </row>
    <row r="214" spans="1:37" x14ac:dyDescent="0.25">
      <c r="A214" s="20"/>
      <c r="B214" s="20"/>
      <c r="C214" s="20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 t="str">
        <f t="shared" si="3"/>
        <v/>
      </c>
      <c r="Q214" s="23" t="str">
        <f>_xlfn.IFNA(IF(SUM(D214:O214)=0,VLOOKUP(C214,DASHBOARD!$L$9:$M$11,2,0)*12,VLOOKUP(C214,DASHBOARD!$L$9:$M$11,2,0)*12-P214),"")</f>
        <v/>
      </c>
      <c r="U214" s="20"/>
      <c r="V214" s="20"/>
      <c r="W214" s="20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 t="s">
        <v>144</v>
      </c>
      <c r="AK214" s="23" t="s">
        <v>144</v>
      </c>
    </row>
    <row r="215" spans="1:37" x14ac:dyDescent="0.25">
      <c r="A215" s="20"/>
      <c r="B215" s="20"/>
      <c r="C215" s="20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 t="str">
        <f t="shared" si="3"/>
        <v/>
      </c>
      <c r="Q215" s="23" t="str">
        <f>_xlfn.IFNA(IF(SUM(D215:O215)=0,VLOOKUP(C215,DASHBOARD!$L$9:$M$11,2,0)*12,VLOOKUP(C215,DASHBOARD!$L$9:$M$11,2,0)*12-P215),"")</f>
        <v/>
      </c>
      <c r="U215" s="20"/>
      <c r="V215" s="20"/>
      <c r="W215" s="20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 t="s">
        <v>144</v>
      </c>
      <c r="AK215" s="23" t="s">
        <v>144</v>
      </c>
    </row>
    <row r="216" spans="1:37" x14ac:dyDescent="0.25">
      <c r="A216" s="20"/>
      <c r="B216" s="20"/>
      <c r="C216" s="20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 t="str">
        <f t="shared" si="3"/>
        <v/>
      </c>
      <c r="Q216" s="23" t="str">
        <f>_xlfn.IFNA(IF(SUM(D216:O216)=0,VLOOKUP(C216,DASHBOARD!$L$9:$M$11,2,0)*12,VLOOKUP(C216,DASHBOARD!$L$9:$M$11,2,0)*12-P216),"")</f>
        <v/>
      </c>
      <c r="U216" s="20"/>
      <c r="V216" s="20"/>
      <c r="W216" s="20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 t="s">
        <v>144</v>
      </c>
      <c r="AK216" s="23" t="s">
        <v>144</v>
      </c>
    </row>
    <row r="217" spans="1:37" x14ac:dyDescent="0.25">
      <c r="A217" s="20"/>
      <c r="B217" s="20"/>
      <c r="C217" s="20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 t="str">
        <f t="shared" si="3"/>
        <v/>
      </c>
      <c r="Q217" s="23" t="str">
        <f>_xlfn.IFNA(IF(SUM(D217:O217)=0,VLOOKUP(C217,DASHBOARD!$L$9:$M$11,2,0)*12,VLOOKUP(C217,DASHBOARD!$L$9:$M$11,2,0)*12-P217),"")</f>
        <v/>
      </c>
      <c r="U217" s="20"/>
      <c r="V217" s="20"/>
      <c r="W217" s="20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 t="s">
        <v>144</v>
      </c>
      <c r="AK217" s="23" t="s">
        <v>144</v>
      </c>
    </row>
    <row r="218" spans="1:37" x14ac:dyDescent="0.25">
      <c r="A218" s="20"/>
      <c r="B218" s="20"/>
      <c r="C218" s="20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 t="str">
        <f t="shared" si="3"/>
        <v/>
      </c>
      <c r="Q218" s="23" t="str">
        <f>_xlfn.IFNA(IF(SUM(D218:O218)=0,VLOOKUP(C218,DASHBOARD!$L$9:$M$11,2,0)*12,VLOOKUP(C218,DASHBOARD!$L$9:$M$11,2,0)*12-P218),"")</f>
        <v/>
      </c>
      <c r="U218" s="20"/>
      <c r="V218" s="20"/>
      <c r="W218" s="20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 t="s">
        <v>144</v>
      </c>
      <c r="AK218" s="23" t="s">
        <v>144</v>
      </c>
    </row>
    <row r="219" spans="1:37" x14ac:dyDescent="0.25">
      <c r="A219" s="20"/>
      <c r="B219" s="20"/>
      <c r="C219" s="20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 t="str">
        <f t="shared" si="3"/>
        <v/>
      </c>
      <c r="Q219" s="23" t="str">
        <f>_xlfn.IFNA(IF(SUM(D219:O219)=0,VLOOKUP(C219,DASHBOARD!$L$9:$M$11,2,0)*12,VLOOKUP(C219,DASHBOARD!$L$9:$M$11,2,0)*12-P219),"")</f>
        <v/>
      </c>
      <c r="U219" s="20"/>
      <c r="V219" s="20"/>
      <c r="W219" s="20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 t="s">
        <v>144</v>
      </c>
      <c r="AK219" s="23" t="s">
        <v>144</v>
      </c>
    </row>
    <row r="220" spans="1:37" x14ac:dyDescent="0.25">
      <c r="A220" s="20"/>
      <c r="B220" s="20"/>
      <c r="C220" s="20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 t="str">
        <f t="shared" si="3"/>
        <v/>
      </c>
      <c r="Q220" s="23" t="str">
        <f>_xlfn.IFNA(IF(SUM(D220:O220)=0,VLOOKUP(C220,DASHBOARD!$L$9:$M$11,2,0)*12,VLOOKUP(C220,DASHBOARD!$L$9:$M$11,2,0)*12-P220),"")</f>
        <v/>
      </c>
      <c r="U220" s="20"/>
      <c r="V220" s="20"/>
      <c r="W220" s="20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 t="s">
        <v>144</v>
      </c>
      <c r="AK220" s="23" t="s">
        <v>144</v>
      </c>
    </row>
    <row r="221" spans="1:37" x14ac:dyDescent="0.25">
      <c r="A221" s="20"/>
      <c r="B221" s="20"/>
      <c r="C221" s="20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 t="str">
        <f t="shared" si="3"/>
        <v/>
      </c>
      <c r="Q221" s="23" t="str">
        <f>_xlfn.IFNA(IF(SUM(D221:O221)=0,VLOOKUP(C221,DASHBOARD!$L$9:$M$11,2,0)*12,VLOOKUP(C221,DASHBOARD!$L$9:$M$11,2,0)*12-P221),"")</f>
        <v/>
      </c>
      <c r="U221" s="20"/>
      <c r="V221" s="20"/>
      <c r="W221" s="20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 t="s">
        <v>144</v>
      </c>
      <c r="AK221" s="23" t="s">
        <v>144</v>
      </c>
    </row>
    <row r="222" spans="1:37" x14ac:dyDescent="0.25">
      <c r="A222" s="20"/>
      <c r="B222" s="20"/>
      <c r="C222" s="20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 t="str">
        <f t="shared" si="3"/>
        <v/>
      </c>
      <c r="Q222" s="23" t="str">
        <f>_xlfn.IFNA(IF(SUM(D222:O222)=0,VLOOKUP(C222,DASHBOARD!$L$9:$M$11,2,0)*12,VLOOKUP(C222,DASHBOARD!$L$9:$M$11,2,0)*12-P222),"")</f>
        <v/>
      </c>
      <c r="U222" s="20"/>
      <c r="V222" s="20"/>
      <c r="W222" s="20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 t="s">
        <v>144</v>
      </c>
      <c r="AK222" s="23" t="s">
        <v>144</v>
      </c>
    </row>
    <row r="223" spans="1:37" x14ac:dyDescent="0.25">
      <c r="A223" s="20"/>
      <c r="B223" s="20"/>
      <c r="C223" s="20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 t="str">
        <f t="shared" si="3"/>
        <v/>
      </c>
      <c r="Q223" s="23" t="str">
        <f>_xlfn.IFNA(IF(SUM(D223:O223)=0,VLOOKUP(C223,DASHBOARD!$L$9:$M$11,2,0)*12,VLOOKUP(C223,DASHBOARD!$L$9:$M$11,2,0)*12-P223),"")</f>
        <v/>
      </c>
      <c r="U223" s="20"/>
      <c r="V223" s="20"/>
      <c r="W223" s="20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 t="s">
        <v>144</v>
      </c>
      <c r="AK223" s="23" t="s">
        <v>144</v>
      </c>
    </row>
    <row r="224" spans="1:37" x14ac:dyDescent="0.25">
      <c r="A224" s="20"/>
      <c r="B224" s="20"/>
      <c r="C224" s="20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 t="str">
        <f t="shared" si="3"/>
        <v/>
      </c>
      <c r="Q224" s="23" t="str">
        <f>_xlfn.IFNA(IF(SUM(D224:O224)=0,VLOOKUP(C224,DASHBOARD!$L$9:$M$11,2,0)*12,VLOOKUP(C224,DASHBOARD!$L$9:$M$11,2,0)*12-P224),"")</f>
        <v/>
      </c>
      <c r="U224" s="20"/>
      <c r="V224" s="20"/>
      <c r="W224" s="20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 t="s">
        <v>144</v>
      </c>
      <c r="AK224" s="23" t="s">
        <v>144</v>
      </c>
    </row>
    <row r="225" spans="1:37" x14ac:dyDescent="0.25">
      <c r="A225" s="20"/>
      <c r="B225" s="20"/>
      <c r="C225" s="20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 t="str">
        <f t="shared" si="3"/>
        <v/>
      </c>
      <c r="Q225" s="23" t="str">
        <f>_xlfn.IFNA(IF(SUM(D225:O225)=0,VLOOKUP(C225,DASHBOARD!$L$9:$M$11,2,0)*12,VLOOKUP(C225,DASHBOARD!$L$9:$M$11,2,0)*12-P225),"")</f>
        <v/>
      </c>
      <c r="U225" s="20"/>
      <c r="V225" s="20"/>
      <c r="W225" s="20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 t="s">
        <v>144</v>
      </c>
      <c r="AK225" s="23" t="s">
        <v>144</v>
      </c>
    </row>
    <row r="226" spans="1:37" x14ac:dyDescent="0.25">
      <c r="A226" s="20"/>
      <c r="B226" s="20"/>
      <c r="C226" s="20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 t="str">
        <f t="shared" si="3"/>
        <v/>
      </c>
      <c r="Q226" s="23" t="str">
        <f>_xlfn.IFNA(IF(SUM(D226:O226)=0,VLOOKUP(C226,DASHBOARD!$L$9:$M$11,2,0)*12,VLOOKUP(C226,DASHBOARD!$L$9:$M$11,2,0)*12-P226),"")</f>
        <v/>
      </c>
      <c r="U226" s="20"/>
      <c r="V226" s="20"/>
      <c r="W226" s="20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 t="s">
        <v>144</v>
      </c>
      <c r="AK226" s="23" t="s">
        <v>144</v>
      </c>
    </row>
    <row r="227" spans="1:37" x14ac:dyDescent="0.25">
      <c r="A227" s="20"/>
      <c r="B227" s="20"/>
      <c r="C227" s="20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 t="str">
        <f t="shared" si="3"/>
        <v/>
      </c>
      <c r="Q227" s="23" t="str">
        <f>_xlfn.IFNA(IF(SUM(D227:O227)=0,VLOOKUP(C227,DASHBOARD!$L$9:$M$11,2,0)*12,VLOOKUP(C227,DASHBOARD!$L$9:$M$11,2,0)*12-P227),"")</f>
        <v/>
      </c>
      <c r="U227" s="20"/>
      <c r="V227" s="20"/>
      <c r="W227" s="20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 t="s">
        <v>144</v>
      </c>
      <c r="AK227" s="23" t="s">
        <v>144</v>
      </c>
    </row>
    <row r="228" spans="1:37" x14ac:dyDescent="0.25">
      <c r="A228" s="20"/>
      <c r="B228" s="20"/>
      <c r="C228" s="20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 t="str">
        <f t="shared" si="3"/>
        <v/>
      </c>
      <c r="Q228" s="23" t="str">
        <f>_xlfn.IFNA(IF(SUM(D228:O228)=0,VLOOKUP(C228,DASHBOARD!$L$9:$M$11,2,0)*12,VLOOKUP(C228,DASHBOARD!$L$9:$M$11,2,0)*12-P228),"")</f>
        <v/>
      </c>
      <c r="U228" s="20"/>
      <c r="V228" s="20"/>
      <c r="W228" s="20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 t="s">
        <v>144</v>
      </c>
      <c r="AK228" s="23" t="s">
        <v>144</v>
      </c>
    </row>
    <row r="229" spans="1:37" x14ac:dyDescent="0.25">
      <c r="A229" s="20"/>
      <c r="B229" s="20"/>
      <c r="C229" s="20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 t="str">
        <f t="shared" si="3"/>
        <v/>
      </c>
      <c r="Q229" s="23" t="str">
        <f>_xlfn.IFNA(IF(SUM(D229:O229)=0,VLOOKUP(C229,DASHBOARD!$L$9:$M$11,2,0)*12,VLOOKUP(C229,DASHBOARD!$L$9:$M$11,2,0)*12-P229),"")</f>
        <v/>
      </c>
      <c r="U229" s="20"/>
      <c r="V229" s="20"/>
      <c r="W229" s="20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 t="s">
        <v>144</v>
      </c>
      <c r="AK229" s="23" t="s">
        <v>144</v>
      </c>
    </row>
    <row r="230" spans="1:37" x14ac:dyDescent="0.25">
      <c r="A230" s="20"/>
      <c r="B230" s="20"/>
      <c r="C230" s="20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 t="str">
        <f t="shared" si="3"/>
        <v/>
      </c>
      <c r="Q230" s="23" t="str">
        <f>_xlfn.IFNA(IF(SUM(D230:O230)=0,VLOOKUP(C230,DASHBOARD!$L$9:$M$11,2,0)*12,VLOOKUP(C230,DASHBOARD!$L$9:$M$11,2,0)*12-P230),"")</f>
        <v/>
      </c>
      <c r="U230" s="20"/>
      <c r="V230" s="20"/>
      <c r="W230" s="20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 t="s">
        <v>144</v>
      </c>
      <c r="AK230" s="23" t="s">
        <v>144</v>
      </c>
    </row>
    <row r="231" spans="1:37" x14ac:dyDescent="0.25">
      <c r="A231" s="20"/>
      <c r="B231" s="20"/>
      <c r="C231" s="20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 t="str">
        <f t="shared" si="3"/>
        <v/>
      </c>
      <c r="Q231" s="23" t="str">
        <f>_xlfn.IFNA(IF(SUM(D231:O231)=0,VLOOKUP(C231,DASHBOARD!$L$9:$M$11,2,0)*12,VLOOKUP(C231,DASHBOARD!$L$9:$M$11,2,0)*12-P231),"")</f>
        <v/>
      </c>
      <c r="U231" s="20"/>
      <c r="V231" s="20"/>
      <c r="W231" s="20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 t="s">
        <v>144</v>
      </c>
      <c r="AK231" s="23" t="s">
        <v>144</v>
      </c>
    </row>
    <row r="232" spans="1:37" x14ac:dyDescent="0.25">
      <c r="A232" s="20"/>
      <c r="B232" s="20"/>
      <c r="C232" s="20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 t="str">
        <f t="shared" si="3"/>
        <v/>
      </c>
      <c r="Q232" s="23" t="str">
        <f>_xlfn.IFNA(IF(SUM(D232:O232)=0,VLOOKUP(C232,DASHBOARD!$L$9:$M$11,2,0)*12,VLOOKUP(C232,DASHBOARD!$L$9:$M$11,2,0)*12-P232),"")</f>
        <v/>
      </c>
      <c r="U232" s="20"/>
      <c r="V232" s="20"/>
      <c r="W232" s="20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 t="s">
        <v>144</v>
      </c>
      <c r="AK232" s="23" t="s">
        <v>144</v>
      </c>
    </row>
    <row r="233" spans="1:37" x14ac:dyDescent="0.25">
      <c r="A233" s="20"/>
      <c r="B233" s="20"/>
      <c r="C233" s="20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 t="str">
        <f t="shared" si="3"/>
        <v/>
      </c>
      <c r="Q233" s="23" t="str">
        <f>_xlfn.IFNA(IF(SUM(D233:O233)=0,VLOOKUP(C233,DASHBOARD!$L$9:$M$11,2,0)*12,VLOOKUP(C233,DASHBOARD!$L$9:$M$11,2,0)*12-P233),"")</f>
        <v/>
      </c>
      <c r="U233" s="20"/>
      <c r="V233" s="20"/>
      <c r="W233" s="20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 t="s">
        <v>144</v>
      </c>
      <c r="AK233" s="23" t="s">
        <v>144</v>
      </c>
    </row>
    <row r="234" spans="1:37" x14ac:dyDescent="0.25">
      <c r="A234" s="20"/>
      <c r="B234" s="20"/>
      <c r="C234" s="20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 t="str">
        <f t="shared" si="3"/>
        <v/>
      </c>
      <c r="Q234" s="23" t="str">
        <f>_xlfn.IFNA(IF(SUM(D234:O234)=0,VLOOKUP(C234,DASHBOARD!$L$9:$M$11,2,0)*12,VLOOKUP(C234,DASHBOARD!$L$9:$M$11,2,0)*12-P234),"")</f>
        <v/>
      </c>
      <c r="U234" s="20"/>
      <c r="V234" s="20"/>
      <c r="W234" s="20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 t="s">
        <v>144</v>
      </c>
      <c r="AK234" s="23" t="s">
        <v>144</v>
      </c>
    </row>
    <row r="235" spans="1:37" x14ac:dyDescent="0.25">
      <c r="A235" s="20"/>
      <c r="B235" s="20"/>
      <c r="C235" s="20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 t="str">
        <f t="shared" si="3"/>
        <v/>
      </c>
      <c r="Q235" s="23" t="str">
        <f>_xlfn.IFNA(IF(SUM(D235:O235)=0,VLOOKUP(C235,DASHBOARD!$L$9:$M$11,2,0)*12,VLOOKUP(C235,DASHBOARD!$L$9:$M$11,2,0)*12-P235),"")</f>
        <v/>
      </c>
      <c r="U235" s="20"/>
      <c r="V235" s="20"/>
      <c r="W235" s="20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 t="s">
        <v>144</v>
      </c>
      <c r="AK235" s="23" t="s">
        <v>144</v>
      </c>
    </row>
    <row r="236" spans="1:37" x14ac:dyDescent="0.25">
      <c r="A236" s="20"/>
      <c r="B236" s="20"/>
      <c r="C236" s="20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 t="str">
        <f t="shared" si="3"/>
        <v/>
      </c>
      <c r="Q236" s="23" t="str">
        <f>_xlfn.IFNA(IF(SUM(D236:O236)=0,VLOOKUP(C236,DASHBOARD!$L$9:$M$11,2,0)*12,VLOOKUP(C236,DASHBOARD!$L$9:$M$11,2,0)*12-P236),"")</f>
        <v/>
      </c>
      <c r="U236" s="20"/>
      <c r="V236" s="20"/>
      <c r="W236" s="20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 t="s">
        <v>144</v>
      </c>
      <c r="AK236" s="23" t="s">
        <v>144</v>
      </c>
    </row>
    <row r="237" spans="1:37" x14ac:dyDescent="0.25">
      <c r="A237" s="20"/>
      <c r="B237" s="20"/>
      <c r="C237" s="20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 t="str">
        <f t="shared" si="3"/>
        <v/>
      </c>
      <c r="Q237" s="23" t="str">
        <f>_xlfn.IFNA(IF(SUM(D237:O237)=0,VLOOKUP(C237,DASHBOARD!$L$9:$M$11,2,0)*12,VLOOKUP(C237,DASHBOARD!$L$9:$M$11,2,0)*12-P237),"")</f>
        <v/>
      </c>
      <c r="U237" s="20"/>
      <c r="V237" s="20"/>
      <c r="W237" s="20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 t="s">
        <v>144</v>
      </c>
      <c r="AK237" s="23" t="s">
        <v>144</v>
      </c>
    </row>
    <row r="238" spans="1:37" x14ac:dyDescent="0.25">
      <c r="A238" s="20"/>
      <c r="B238" s="20"/>
      <c r="C238" s="20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 t="str">
        <f t="shared" si="3"/>
        <v/>
      </c>
      <c r="Q238" s="23" t="str">
        <f>_xlfn.IFNA(IF(SUM(D238:O238)=0,VLOOKUP(C238,DASHBOARD!$L$9:$M$11,2,0)*12,VLOOKUP(C238,DASHBOARD!$L$9:$M$11,2,0)*12-P238),"")</f>
        <v/>
      </c>
      <c r="U238" s="20"/>
      <c r="V238" s="20"/>
      <c r="W238" s="20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 t="s">
        <v>144</v>
      </c>
      <c r="AK238" s="23" t="s">
        <v>144</v>
      </c>
    </row>
    <row r="239" spans="1:37" x14ac:dyDescent="0.25">
      <c r="A239" s="20"/>
      <c r="B239" s="20"/>
      <c r="C239" s="20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 t="str">
        <f t="shared" si="3"/>
        <v/>
      </c>
      <c r="Q239" s="23" t="str">
        <f>_xlfn.IFNA(IF(SUM(D239:O239)=0,VLOOKUP(C239,DASHBOARD!$L$9:$M$11,2,0)*12,VLOOKUP(C239,DASHBOARD!$L$9:$M$11,2,0)*12-P239),"")</f>
        <v/>
      </c>
      <c r="U239" s="20"/>
      <c r="V239" s="20"/>
      <c r="W239" s="20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 t="s">
        <v>144</v>
      </c>
      <c r="AK239" s="23" t="s">
        <v>144</v>
      </c>
    </row>
    <row r="240" spans="1:37" x14ac:dyDescent="0.25">
      <c r="A240" s="20"/>
      <c r="B240" s="20"/>
      <c r="C240" s="20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 t="str">
        <f t="shared" si="3"/>
        <v/>
      </c>
      <c r="Q240" s="23" t="str">
        <f>_xlfn.IFNA(IF(SUM(D240:O240)=0,VLOOKUP(C240,DASHBOARD!$L$9:$M$11,2,0)*12,VLOOKUP(C240,DASHBOARD!$L$9:$M$11,2,0)*12-P240),"")</f>
        <v/>
      </c>
      <c r="U240" s="20"/>
      <c r="V240" s="20"/>
      <c r="W240" s="20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 t="s">
        <v>144</v>
      </c>
      <c r="AK240" s="23" t="s">
        <v>144</v>
      </c>
    </row>
    <row r="241" spans="1:37" x14ac:dyDescent="0.25">
      <c r="A241" s="20"/>
      <c r="B241" s="20"/>
      <c r="C241" s="20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 t="str">
        <f t="shared" si="3"/>
        <v/>
      </c>
      <c r="Q241" s="23" t="str">
        <f>_xlfn.IFNA(IF(SUM(D241:O241)=0,VLOOKUP(C241,DASHBOARD!$L$9:$M$11,2,0)*12,VLOOKUP(C241,DASHBOARD!$L$9:$M$11,2,0)*12-P241),"")</f>
        <v/>
      </c>
      <c r="U241" s="20"/>
      <c r="V241" s="20"/>
      <c r="W241" s="20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 t="s">
        <v>144</v>
      </c>
      <c r="AK241" s="23" t="s">
        <v>144</v>
      </c>
    </row>
    <row r="242" spans="1:37" x14ac:dyDescent="0.25">
      <c r="A242" s="20"/>
      <c r="B242" s="20"/>
      <c r="C242" s="20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 t="str">
        <f t="shared" si="3"/>
        <v/>
      </c>
      <c r="Q242" s="23" t="str">
        <f>_xlfn.IFNA(IF(SUM(D242:O242)=0,VLOOKUP(C242,DASHBOARD!$L$9:$M$11,2,0)*12,VLOOKUP(C242,DASHBOARD!$L$9:$M$11,2,0)*12-P242),"")</f>
        <v/>
      </c>
      <c r="U242" s="20"/>
      <c r="V242" s="20"/>
      <c r="W242" s="20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 t="s">
        <v>144</v>
      </c>
      <c r="AK242" s="23" t="s">
        <v>144</v>
      </c>
    </row>
    <row r="243" spans="1:37" x14ac:dyDescent="0.25">
      <c r="A243" s="20"/>
      <c r="B243" s="20"/>
      <c r="C243" s="20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 t="str">
        <f t="shared" si="3"/>
        <v/>
      </c>
      <c r="Q243" s="23" t="str">
        <f>_xlfn.IFNA(IF(SUM(D243:O243)=0,VLOOKUP(C243,DASHBOARD!$L$9:$M$11,2,0)*12,VLOOKUP(C243,DASHBOARD!$L$9:$M$11,2,0)*12-P243),"")</f>
        <v/>
      </c>
      <c r="U243" s="20"/>
      <c r="V243" s="20"/>
      <c r="W243" s="20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 t="s">
        <v>144</v>
      </c>
      <c r="AK243" s="23" t="s">
        <v>144</v>
      </c>
    </row>
    <row r="244" spans="1:37" x14ac:dyDescent="0.25">
      <c r="A244" s="20"/>
      <c r="B244" s="20"/>
      <c r="C244" s="20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 t="str">
        <f t="shared" si="3"/>
        <v/>
      </c>
      <c r="Q244" s="23" t="str">
        <f>_xlfn.IFNA(IF(SUM(D244:O244)=0,VLOOKUP(C244,DASHBOARD!$L$9:$M$11,2,0)*12,VLOOKUP(C244,DASHBOARD!$L$9:$M$11,2,0)*12-P244),"")</f>
        <v/>
      </c>
      <c r="U244" s="20"/>
      <c r="V244" s="20"/>
      <c r="W244" s="20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 t="s">
        <v>144</v>
      </c>
      <c r="AK244" s="23" t="s">
        <v>144</v>
      </c>
    </row>
    <row r="245" spans="1:37" x14ac:dyDescent="0.25">
      <c r="A245" s="20"/>
      <c r="B245" s="20"/>
      <c r="C245" s="20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 t="str">
        <f t="shared" si="3"/>
        <v/>
      </c>
      <c r="Q245" s="23" t="str">
        <f>_xlfn.IFNA(IF(SUM(D245:O245)=0,VLOOKUP(C245,DASHBOARD!$L$9:$M$11,2,0)*12,VLOOKUP(C245,DASHBOARD!$L$9:$M$11,2,0)*12-P245),"")</f>
        <v/>
      </c>
      <c r="U245" s="20"/>
      <c r="V245" s="20"/>
      <c r="W245" s="20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 t="s">
        <v>144</v>
      </c>
      <c r="AK245" s="23" t="s">
        <v>144</v>
      </c>
    </row>
    <row r="246" spans="1:37" x14ac:dyDescent="0.25">
      <c r="A246" s="20"/>
      <c r="B246" s="20"/>
      <c r="C246" s="20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 t="str">
        <f t="shared" si="3"/>
        <v/>
      </c>
      <c r="Q246" s="23" t="str">
        <f>_xlfn.IFNA(IF(SUM(D246:O246)=0,VLOOKUP(C246,DASHBOARD!$L$9:$M$11,2,0)*12,VLOOKUP(C246,DASHBOARD!$L$9:$M$11,2,0)*12-P246),"")</f>
        <v/>
      </c>
      <c r="U246" s="20"/>
      <c r="V246" s="20"/>
      <c r="W246" s="20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 t="s">
        <v>144</v>
      </c>
      <c r="AK246" s="23" t="s">
        <v>144</v>
      </c>
    </row>
    <row r="247" spans="1:37" x14ac:dyDescent="0.25">
      <c r="A247" s="20"/>
      <c r="B247" s="20"/>
      <c r="C247" s="20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 t="str">
        <f t="shared" si="3"/>
        <v/>
      </c>
      <c r="Q247" s="23" t="str">
        <f>_xlfn.IFNA(IF(SUM(D247:O247)=0,VLOOKUP(C247,DASHBOARD!$L$9:$M$11,2,0)*12,VLOOKUP(C247,DASHBOARD!$L$9:$M$11,2,0)*12-P247),"")</f>
        <v/>
      </c>
      <c r="U247" s="20"/>
      <c r="V247" s="20"/>
      <c r="W247" s="20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 t="s">
        <v>144</v>
      </c>
      <c r="AK247" s="23" t="s">
        <v>144</v>
      </c>
    </row>
    <row r="248" spans="1:37" x14ac:dyDescent="0.25">
      <c r="A248" s="20"/>
      <c r="B248" s="20"/>
      <c r="C248" s="20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 t="str">
        <f t="shared" si="3"/>
        <v/>
      </c>
      <c r="Q248" s="23" t="str">
        <f>_xlfn.IFNA(IF(SUM(D248:O248)=0,VLOOKUP(C248,DASHBOARD!$L$9:$M$11,2,0)*12,VLOOKUP(C248,DASHBOARD!$L$9:$M$11,2,0)*12-P248),"")</f>
        <v/>
      </c>
      <c r="U248" s="20"/>
      <c r="V248" s="20"/>
      <c r="W248" s="20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 t="s">
        <v>144</v>
      </c>
      <c r="AK248" s="23" t="s">
        <v>144</v>
      </c>
    </row>
    <row r="249" spans="1:37" x14ac:dyDescent="0.25">
      <c r="A249" s="20"/>
      <c r="B249" s="20"/>
      <c r="C249" s="20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 t="str">
        <f t="shared" si="3"/>
        <v/>
      </c>
      <c r="Q249" s="23" t="str">
        <f>_xlfn.IFNA(IF(SUM(D249:O249)=0,VLOOKUP(C249,DASHBOARD!$L$9:$M$11,2,0)*12,VLOOKUP(C249,DASHBOARD!$L$9:$M$11,2,0)*12-P249),"")</f>
        <v/>
      </c>
      <c r="U249" s="20"/>
      <c r="V249" s="20"/>
      <c r="W249" s="20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 t="s">
        <v>144</v>
      </c>
      <c r="AK249" s="23" t="s">
        <v>144</v>
      </c>
    </row>
    <row r="250" spans="1:37" x14ac:dyDescent="0.25">
      <c r="A250" s="20"/>
      <c r="B250" s="20"/>
      <c r="C250" s="20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 t="str">
        <f t="shared" si="3"/>
        <v/>
      </c>
      <c r="Q250" s="23" t="str">
        <f>_xlfn.IFNA(IF(SUM(D250:O250)=0,VLOOKUP(C250,DASHBOARD!$L$9:$M$11,2,0)*12,VLOOKUP(C250,DASHBOARD!$L$9:$M$11,2,0)*12-P250),"")</f>
        <v/>
      </c>
      <c r="U250" s="20"/>
      <c r="V250" s="20"/>
      <c r="W250" s="20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 t="s">
        <v>144</v>
      </c>
      <c r="AK250" s="23" t="s">
        <v>144</v>
      </c>
    </row>
    <row r="251" spans="1:37" x14ac:dyDescent="0.25">
      <c r="A251" s="20"/>
      <c r="B251" s="20"/>
      <c r="C251" s="20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 t="str">
        <f t="shared" si="3"/>
        <v/>
      </c>
      <c r="Q251" s="23" t="str">
        <f>_xlfn.IFNA(IF(SUM(D251:O251)=0,VLOOKUP(C251,DASHBOARD!$L$9:$M$11,2,0)*12,VLOOKUP(C251,DASHBOARD!$L$9:$M$11,2,0)*12-P251),"")</f>
        <v/>
      </c>
      <c r="U251" s="20"/>
      <c r="V251" s="20"/>
      <c r="W251" s="20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 t="s">
        <v>144</v>
      </c>
      <c r="AK251" s="23" t="s">
        <v>144</v>
      </c>
    </row>
    <row r="252" spans="1:37" x14ac:dyDescent="0.25">
      <c r="A252" s="20"/>
      <c r="B252" s="20"/>
      <c r="C252" s="20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 t="str">
        <f t="shared" si="3"/>
        <v/>
      </c>
      <c r="Q252" s="23" t="str">
        <f>_xlfn.IFNA(IF(SUM(D252:O252)=0,VLOOKUP(C252,DASHBOARD!$L$9:$M$11,2,0)*12,VLOOKUP(C252,DASHBOARD!$L$9:$M$11,2,0)*12-P252),"")</f>
        <v/>
      </c>
      <c r="U252" s="20"/>
      <c r="V252" s="20"/>
      <c r="W252" s="20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 t="s">
        <v>144</v>
      </c>
      <c r="AK252" s="23" t="s">
        <v>144</v>
      </c>
    </row>
    <row r="253" spans="1:37" x14ac:dyDescent="0.25">
      <c r="A253" s="20"/>
      <c r="B253" s="20"/>
      <c r="C253" s="20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 t="str">
        <f t="shared" si="3"/>
        <v/>
      </c>
      <c r="Q253" s="23" t="str">
        <f>_xlfn.IFNA(IF(SUM(D253:O253)=0,VLOOKUP(C253,DASHBOARD!$L$9:$M$11,2,0)*12,VLOOKUP(C253,DASHBOARD!$L$9:$M$11,2,0)*12-P253),"")</f>
        <v/>
      </c>
      <c r="U253" s="20"/>
      <c r="V253" s="20"/>
      <c r="W253" s="20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 t="s">
        <v>144</v>
      </c>
      <c r="AK253" s="23" t="s">
        <v>144</v>
      </c>
    </row>
    <row r="254" spans="1:37" x14ac:dyDescent="0.25">
      <c r="A254" s="20"/>
      <c r="B254" s="20"/>
      <c r="C254" s="20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 t="str">
        <f t="shared" si="3"/>
        <v/>
      </c>
      <c r="Q254" s="23" t="str">
        <f>_xlfn.IFNA(IF(SUM(D254:O254)=0,VLOOKUP(C254,DASHBOARD!$L$9:$M$11,2,0)*12,VLOOKUP(C254,DASHBOARD!$L$9:$M$11,2,0)*12-P254),"")</f>
        <v/>
      </c>
      <c r="U254" s="20"/>
      <c r="V254" s="20"/>
      <c r="W254" s="20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 t="s">
        <v>144</v>
      </c>
      <c r="AK254" s="23" t="s">
        <v>144</v>
      </c>
    </row>
    <row r="255" spans="1:37" x14ac:dyDescent="0.25">
      <c r="A255" s="20"/>
      <c r="B255" s="20"/>
      <c r="C255" s="20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 t="str">
        <f t="shared" si="3"/>
        <v/>
      </c>
      <c r="Q255" s="23" t="str">
        <f>_xlfn.IFNA(IF(SUM(D255:O255)=0,VLOOKUP(C255,DASHBOARD!$L$9:$M$11,2,0)*12,VLOOKUP(C255,DASHBOARD!$L$9:$M$11,2,0)*12-P255),"")</f>
        <v/>
      </c>
      <c r="U255" s="20"/>
      <c r="V255" s="20"/>
      <c r="W255" s="20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 t="s">
        <v>144</v>
      </c>
      <c r="AK255" s="23" t="s">
        <v>144</v>
      </c>
    </row>
    <row r="256" spans="1:37" x14ac:dyDescent="0.25">
      <c r="A256" s="20"/>
      <c r="B256" s="20"/>
      <c r="C256" s="20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 t="str">
        <f t="shared" si="3"/>
        <v/>
      </c>
      <c r="Q256" s="23" t="str">
        <f>_xlfn.IFNA(IF(SUM(D256:O256)=0,VLOOKUP(C256,DASHBOARD!$L$9:$M$11,2,0)*12,VLOOKUP(C256,DASHBOARD!$L$9:$M$11,2,0)*12-P256),"")</f>
        <v/>
      </c>
      <c r="U256" s="20"/>
      <c r="V256" s="20"/>
      <c r="W256" s="20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 t="s">
        <v>144</v>
      </c>
      <c r="AK256" s="23" t="s">
        <v>144</v>
      </c>
    </row>
    <row r="257" spans="1:37" x14ac:dyDescent="0.25">
      <c r="A257" s="20"/>
      <c r="B257" s="20"/>
      <c r="C257" s="20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 t="str">
        <f t="shared" si="3"/>
        <v/>
      </c>
      <c r="Q257" s="23" t="str">
        <f>_xlfn.IFNA(IF(SUM(D257:O257)=0,VLOOKUP(C257,DASHBOARD!$L$9:$M$11,2,0)*12,VLOOKUP(C257,DASHBOARD!$L$9:$M$11,2,0)*12-P257),"")</f>
        <v/>
      </c>
      <c r="U257" s="20"/>
      <c r="V257" s="20"/>
      <c r="W257" s="20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 t="s">
        <v>144</v>
      </c>
      <c r="AK257" s="23" t="s">
        <v>144</v>
      </c>
    </row>
    <row r="258" spans="1:37" x14ac:dyDescent="0.25">
      <c r="A258" s="20"/>
      <c r="B258" s="20"/>
      <c r="C258" s="20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 t="str">
        <f t="shared" si="3"/>
        <v/>
      </c>
      <c r="Q258" s="23" t="str">
        <f>_xlfn.IFNA(IF(SUM(D258:O258)=0,VLOOKUP(C258,DASHBOARD!$L$9:$M$11,2,0)*12,VLOOKUP(C258,DASHBOARD!$L$9:$M$11,2,0)*12-P258),"")</f>
        <v/>
      </c>
      <c r="U258" s="20"/>
      <c r="V258" s="20"/>
      <c r="W258" s="20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 t="s">
        <v>144</v>
      </c>
      <c r="AK258" s="23" t="s">
        <v>144</v>
      </c>
    </row>
    <row r="259" spans="1:37" x14ac:dyDescent="0.25">
      <c r="A259" s="20"/>
      <c r="B259" s="20"/>
      <c r="C259" s="20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 t="str">
        <f t="shared" si="3"/>
        <v/>
      </c>
      <c r="Q259" s="23" t="str">
        <f>_xlfn.IFNA(IF(SUM(D259:O259)=0,VLOOKUP(C259,DASHBOARD!$L$9:$M$11,2,0)*12,VLOOKUP(C259,DASHBOARD!$L$9:$M$11,2,0)*12-P259),"")</f>
        <v/>
      </c>
      <c r="U259" s="20"/>
      <c r="V259" s="20"/>
      <c r="W259" s="20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 t="s">
        <v>144</v>
      </c>
      <c r="AK259" s="23" t="s">
        <v>144</v>
      </c>
    </row>
    <row r="260" spans="1:37" x14ac:dyDescent="0.25">
      <c r="A260" s="20"/>
      <c r="B260" s="20"/>
      <c r="C260" s="20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 t="str">
        <f t="shared" si="3"/>
        <v/>
      </c>
      <c r="Q260" s="23" t="str">
        <f>_xlfn.IFNA(IF(SUM(D260:O260)=0,VLOOKUP(C260,DASHBOARD!$L$9:$M$11,2,0)*12,VLOOKUP(C260,DASHBOARD!$L$9:$M$11,2,0)*12-P260),"")</f>
        <v/>
      </c>
      <c r="U260" s="20"/>
      <c r="V260" s="20"/>
      <c r="W260" s="20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 t="s">
        <v>144</v>
      </c>
      <c r="AK260" s="23" t="s">
        <v>144</v>
      </c>
    </row>
    <row r="261" spans="1:37" x14ac:dyDescent="0.25">
      <c r="A261" s="20"/>
      <c r="B261" s="20"/>
      <c r="C261" s="20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 t="str">
        <f t="shared" ref="P261:P280" si="4">IF(SUM(D261:O261)=0,"",SUM(D261:O261))</f>
        <v/>
      </c>
      <c r="Q261" s="23" t="str">
        <f>_xlfn.IFNA(IF(SUM(D261:O261)=0,VLOOKUP(C261,DASHBOARD!$L$9:$M$11,2,0)*12,VLOOKUP(C261,DASHBOARD!$L$9:$M$11,2,0)*12-P261),"")</f>
        <v/>
      </c>
      <c r="U261" s="20"/>
      <c r="V261" s="20"/>
      <c r="W261" s="20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 t="s">
        <v>144</v>
      </c>
      <c r="AK261" s="23" t="s">
        <v>144</v>
      </c>
    </row>
    <row r="262" spans="1:37" x14ac:dyDescent="0.25">
      <c r="A262" s="20"/>
      <c r="B262" s="20"/>
      <c r="C262" s="20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 t="str">
        <f t="shared" si="4"/>
        <v/>
      </c>
      <c r="Q262" s="23" t="str">
        <f>_xlfn.IFNA(IF(SUM(D262:O262)=0,VLOOKUP(C262,DASHBOARD!$L$9:$M$11,2,0)*12,VLOOKUP(C262,DASHBOARD!$L$9:$M$11,2,0)*12-P262),"")</f>
        <v/>
      </c>
      <c r="U262" s="20"/>
      <c r="V262" s="20"/>
      <c r="W262" s="20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 t="s">
        <v>144</v>
      </c>
      <c r="AK262" s="23" t="s">
        <v>144</v>
      </c>
    </row>
    <row r="263" spans="1:37" x14ac:dyDescent="0.25">
      <c r="A263" s="20"/>
      <c r="B263" s="20"/>
      <c r="C263" s="20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 t="str">
        <f t="shared" si="4"/>
        <v/>
      </c>
      <c r="Q263" s="23" t="str">
        <f>_xlfn.IFNA(IF(SUM(D263:O263)=0,VLOOKUP(C263,DASHBOARD!$L$9:$M$11,2,0)*12,VLOOKUP(C263,DASHBOARD!$L$9:$M$11,2,0)*12-P263),"")</f>
        <v/>
      </c>
      <c r="U263" s="20"/>
      <c r="V263" s="20"/>
      <c r="W263" s="20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 t="s">
        <v>144</v>
      </c>
      <c r="AK263" s="23" t="s">
        <v>144</v>
      </c>
    </row>
    <row r="264" spans="1:37" x14ac:dyDescent="0.25">
      <c r="A264" s="20"/>
      <c r="B264" s="20"/>
      <c r="C264" s="20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 t="str">
        <f t="shared" si="4"/>
        <v/>
      </c>
      <c r="Q264" s="23" t="str">
        <f>_xlfn.IFNA(IF(SUM(D264:O264)=0,VLOOKUP(C264,DASHBOARD!$L$9:$M$11,2,0)*12,VLOOKUP(C264,DASHBOARD!$L$9:$M$11,2,0)*12-P264),"")</f>
        <v/>
      </c>
      <c r="U264" s="20"/>
      <c r="V264" s="20"/>
      <c r="W264" s="20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 t="s">
        <v>144</v>
      </c>
      <c r="AK264" s="23" t="s">
        <v>144</v>
      </c>
    </row>
    <row r="265" spans="1:37" x14ac:dyDescent="0.25">
      <c r="A265" s="20"/>
      <c r="B265" s="20"/>
      <c r="C265" s="20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 t="str">
        <f t="shared" si="4"/>
        <v/>
      </c>
      <c r="Q265" s="23" t="str">
        <f>_xlfn.IFNA(IF(SUM(D265:O265)=0,VLOOKUP(C265,DASHBOARD!$L$9:$M$11,2,0)*12,VLOOKUP(C265,DASHBOARD!$L$9:$M$11,2,0)*12-P265),"")</f>
        <v/>
      </c>
      <c r="U265" s="20"/>
      <c r="V265" s="20"/>
      <c r="W265" s="20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 t="s">
        <v>144</v>
      </c>
      <c r="AK265" s="23" t="s">
        <v>144</v>
      </c>
    </row>
    <row r="266" spans="1:37" x14ac:dyDescent="0.25">
      <c r="A266" s="20"/>
      <c r="B266" s="20"/>
      <c r="C266" s="20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 t="str">
        <f t="shared" si="4"/>
        <v/>
      </c>
      <c r="Q266" s="23" t="str">
        <f>_xlfn.IFNA(IF(SUM(D266:O266)=0,VLOOKUP(C266,DASHBOARD!$L$9:$M$11,2,0)*12,VLOOKUP(C266,DASHBOARD!$L$9:$M$11,2,0)*12-P266),"")</f>
        <v/>
      </c>
      <c r="U266" s="20"/>
      <c r="V266" s="20"/>
      <c r="W266" s="20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 t="s">
        <v>144</v>
      </c>
      <c r="AK266" s="23" t="s">
        <v>144</v>
      </c>
    </row>
    <row r="267" spans="1:37" x14ac:dyDescent="0.25">
      <c r="A267" s="20"/>
      <c r="B267" s="20"/>
      <c r="C267" s="20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 t="str">
        <f t="shared" si="4"/>
        <v/>
      </c>
      <c r="Q267" s="23" t="str">
        <f>_xlfn.IFNA(IF(SUM(D267:O267)=0,VLOOKUP(C267,DASHBOARD!$L$9:$M$11,2,0)*12,VLOOKUP(C267,DASHBOARD!$L$9:$M$11,2,0)*12-P267),"")</f>
        <v/>
      </c>
      <c r="U267" s="20"/>
      <c r="V267" s="20"/>
      <c r="W267" s="20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 t="s">
        <v>144</v>
      </c>
      <c r="AK267" s="23" t="s">
        <v>144</v>
      </c>
    </row>
    <row r="268" spans="1:37" x14ac:dyDescent="0.25">
      <c r="A268" s="20"/>
      <c r="B268" s="20"/>
      <c r="C268" s="20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 t="str">
        <f t="shared" si="4"/>
        <v/>
      </c>
      <c r="Q268" s="23" t="str">
        <f>_xlfn.IFNA(IF(SUM(D268:O268)=0,VLOOKUP(C268,DASHBOARD!$L$9:$M$11,2,0)*12,VLOOKUP(C268,DASHBOARD!$L$9:$M$11,2,0)*12-P268),"")</f>
        <v/>
      </c>
      <c r="U268" s="20"/>
      <c r="V268" s="20"/>
      <c r="W268" s="20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 t="s">
        <v>144</v>
      </c>
      <c r="AK268" s="23" t="s">
        <v>144</v>
      </c>
    </row>
    <row r="269" spans="1:37" x14ac:dyDescent="0.25">
      <c r="A269" s="20"/>
      <c r="B269" s="20"/>
      <c r="C269" s="20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 t="str">
        <f t="shared" si="4"/>
        <v/>
      </c>
      <c r="Q269" s="23" t="str">
        <f>_xlfn.IFNA(IF(SUM(D269:O269)=0,VLOOKUP(C269,DASHBOARD!$L$9:$M$11,2,0)*12,VLOOKUP(C269,DASHBOARD!$L$9:$M$11,2,0)*12-P269),"")</f>
        <v/>
      </c>
      <c r="U269" s="20"/>
      <c r="V269" s="20"/>
      <c r="W269" s="20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 t="s">
        <v>144</v>
      </c>
      <c r="AK269" s="23" t="s">
        <v>144</v>
      </c>
    </row>
    <row r="270" spans="1:37" x14ac:dyDescent="0.25">
      <c r="A270" s="20"/>
      <c r="B270" s="20"/>
      <c r="C270" s="20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 t="str">
        <f t="shared" si="4"/>
        <v/>
      </c>
      <c r="Q270" s="23" t="str">
        <f>_xlfn.IFNA(IF(SUM(D270:O270)=0,VLOOKUP(C270,DASHBOARD!$L$9:$M$11,2,0)*12,VLOOKUP(C270,DASHBOARD!$L$9:$M$11,2,0)*12-P270),"")</f>
        <v/>
      </c>
      <c r="U270" s="20"/>
      <c r="V270" s="20"/>
      <c r="W270" s="20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 t="s">
        <v>144</v>
      </c>
      <c r="AK270" s="23" t="s">
        <v>144</v>
      </c>
    </row>
    <row r="271" spans="1:37" x14ac:dyDescent="0.25">
      <c r="A271" s="20"/>
      <c r="B271" s="20"/>
      <c r="C271" s="20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 t="str">
        <f t="shared" si="4"/>
        <v/>
      </c>
      <c r="Q271" s="23" t="str">
        <f>_xlfn.IFNA(IF(SUM(D271:O271)=0,VLOOKUP(C271,DASHBOARD!$L$9:$M$11,2,0)*12,VLOOKUP(C271,DASHBOARD!$L$9:$M$11,2,0)*12-P271),"")</f>
        <v/>
      </c>
      <c r="U271" s="20"/>
      <c r="V271" s="20"/>
      <c r="W271" s="20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 t="s">
        <v>144</v>
      </c>
      <c r="AK271" s="23" t="s">
        <v>144</v>
      </c>
    </row>
    <row r="272" spans="1:37" x14ac:dyDescent="0.25">
      <c r="A272" s="20"/>
      <c r="B272" s="20"/>
      <c r="C272" s="20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 t="str">
        <f t="shared" si="4"/>
        <v/>
      </c>
      <c r="Q272" s="23" t="str">
        <f>_xlfn.IFNA(IF(SUM(D272:O272)=0,VLOOKUP(C272,DASHBOARD!$L$9:$M$11,2,0)*12,VLOOKUP(C272,DASHBOARD!$L$9:$M$11,2,0)*12-P272),"")</f>
        <v/>
      </c>
      <c r="U272" s="20"/>
      <c r="V272" s="20"/>
      <c r="W272" s="20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 t="s">
        <v>144</v>
      </c>
      <c r="AK272" s="23" t="s">
        <v>144</v>
      </c>
    </row>
    <row r="273" spans="1:37" x14ac:dyDescent="0.25">
      <c r="A273" s="20"/>
      <c r="B273" s="20"/>
      <c r="C273" s="20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 t="str">
        <f t="shared" si="4"/>
        <v/>
      </c>
      <c r="Q273" s="23" t="str">
        <f>_xlfn.IFNA(IF(SUM(D273:O273)=0,VLOOKUP(C273,DASHBOARD!$L$9:$M$11,2,0)*12,VLOOKUP(C273,DASHBOARD!$L$9:$M$11,2,0)*12-P273),"")</f>
        <v/>
      </c>
      <c r="U273" s="20"/>
      <c r="V273" s="20"/>
      <c r="W273" s="20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 t="s">
        <v>144</v>
      </c>
      <c r="AK273" s="23" t="s">
        <v>144</v>
      </c>
    </row>
    <row r="274" spans="1:37" x14ac:dyDescent="0.25">
      <c r="A274" s="20"/>
      <c r="B274" s="20"/>
      <c r="C274" s="20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 t="str">
        <f t="shared" si="4"/>
        <v/>
      </c>
      <c r="Q274" s="23" t="str">
        <f>_xlfn.IFNA(IF(SUM(D274:O274)=0,VLOOKUP(C274,DASHBOARD!$L$9:$M$11,2,0)*12,VLOOKUP(C274,DASHBOARD!$L$9:$M$11,2,0)*12-P274),"")</f>
        <v/>
      </c>
      <c r="U274" s="20"/>
      <c r="V274" s="20"/>
      <c r="W274" s="20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 t="s">
        <v>144</v>
      </c>
      <c r="AK274" s="23" t="s">
        <v>144</v>
      </c>
    </row>
    <row r="275" spans="1:37" x14ac:dyDescent="0.25">
      <c r="A275" s="20"/>
      <c r="B275" s="20"/>
      <c r="C275" s="20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 t="str">
        <f t="shared" si="4"/>
        <v/>
      </c>
      <c r="Q275" s="23" t="str">
        <f>_xlfn.IFNA(IF(SUM(D275:O275)=0,VLOOKUP(C275,DASHBOARD!$L$9:$M$11,2,0)*12,VLOOKUP(C275,DASHBOARD!$L$9:$M$11,2,0)*12-P275),"")</f>
        <v/>
      </c>
      <c r="U275" s="20"/>
      <c r="V275" s="20"/>
      <c r="W275" s="20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 t="s">
        <v>144</v>
      </c>
      <c r="AK275" s="23" t="s">
        <v>144</v>
      </c>
    </row>
    <row r="276" spans="1:37" x14ac:dyDescent="0.25">
      <c r="A276" s="20"/>
      <c r="B276" s="20"/>
      <c r="C276" s="20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 t="str">
        <f t="shared" si="4"/>
        <v/>
      </c>
      <c r="Q276" s="23" t="str">
        <f>_xlfn.IFNA(IF(SUM(D276:O276)=0,VLOOKUP(C276,DASHBOARD!$L$9:$M$11,2,0)*12,VLOOKUP(C276,DASHBOARD!$L$9:$M$11,2,0)*12-P276),"")</f>
        <v/>
      </c>
      <c r="U276" s="20"/>
      <c r="V276" s="20"/>
      <c r="W276" s="20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 t="s">
        <v>144</v>
      </c>
      <c r="AK276" s="23" t="s">
        <v>144</v>
      </c>
    </row>
    <row r="277" spans="1:37" x14ac:dyDescent="0.25">
      <c r="A277" s="20"/>
      <c r="B277" s="20"/>
      <c r="C277" s="20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 t="str">
        <f t="shared" si="4"/>
        <v/>
      </c>
      <c r="Q277" s="23" t="str">
        <f>_xlfn.IFNA(IF(SUM(D277:O277)=0,VLOOKUP(C277,DASHBOARD!$L$9:$M$11,2,0)*12,VLOOKUP(C277,DASHBOARD!$L$9:$M$11,2,0)*12-P277),"")</f>
        <v/>
      </c>
      <c r="U277" s="20"/>
      <c r="V277" s="20"/>
      <c r="W277" s="20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 t="s">
        <v>144</v>
      </c>
      <c r="AK277" s="23" t="s">
        <v>144</v>
      </c>
    </row>
    <row r="278" spans="1:37" x14ac:dyDescent="0.25">
      <c r="A278" s="20"/>
      <c r="B278" s="20"/>
      <c r="C278" s="20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 t="str">
        <f t="shared" si="4"/>
        <v/>
      </c>
      <c r="Q278" s="23" t="str">
        <f>_xlfn.IFNA(IF(SUM(D278:O278)=0,VLOOKUP(C278,DASHBOARD!$L$9:$M$11,2,0)*12,VLOOKUP(C278,DASHBOARD!$L$9:$M$11,2,0)*12-P278),"")</f>
        <v/>
      </c>
      <c r="U278" s="20"/>
      <c r="V278" s="20"/>
      <c r="W278" s="20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 t="s">
        <v>144</v>
      </c>
      <c r="AK278" s="23" t="s">
        <v>144</v>
      </c>
    </row>
    <row r="279" spans="1:37" x14ac:dyDescent="0.25">
      <c r="A279" s="20"/>
      <c r="B279" s="20"/>
      <c r="C279" s="20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 t="str">
        <f t="shared" si="4"/>
        <v/>
      </c>
      <c r="Q279" s="23" t="str">
        <f>_xlfn.IFNA(IF(SUM(D279:O279)=0,VLOOKUP(C279,DASHBOARD!$L$9:$M$11,2,0)*12,VLOOKUP(C279,DASHBOARD!$L$9:$M$11,2,0)*12-P279),"")</f>
        <v/>
      </c>
      <c r="U279" s="20"/>
      <c r="V279" s="20"/>
      <c r="W279" s="20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 t="s">
        <v>144</v>
      </c>
      <c r="AK279" s="23" t="s">
        <v>144</v>
      </c>
    </row>
    <row r="280" spans="1:37" x14ac:dyDescent="0.25">
      <c r="A280" s="20"/>
      <c r="B280" s="20"/>
      <c r="C280" s="20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 t="str">
        <f t="shared" si="4"/>
        <v/>
      </c>
      <c r="Q280" s="23" t="str">
        <f>_xlfn.IFNA(IF(SUM(D280:O280)=0,VLOOKUP(C280,DASHBOARD!$L$9:$M$11,2,0)*12,VLOOKUP(C280,DASHBOARD!$L$9:$M$11,2,0)*12-P280),"")</f>
        <v/>
      </c>
      <c r="U280" s="20"/>
      <c r="V280" s="20"/>
      <c r="W280" s="20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 t="s">
        <v>144</v>
      </c>
      <c r="AK280" s="23" t="s">
        <v>144</v>
      </c>
    </row>
    <row r="281" spans="1:37" x14ac:dyDescent="0.25"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0"/>
    </row>
    <row r="282" spans="1:37" x14ac:dyDescent="0.25"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0"/>
    </row>
    <row r="283" spans="1:37" x14ac:dyDescent="0.25"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0"/>
    </row>
    <row r="284" spans="1:37" x14ac:dyDescent="0.25"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0"/>
    </row>
    <row r="285" spans="1:37" x14ac:dyDescent="0.25">
      <c r="P285" s="20"/>
    </row>
    <row r="286" spans="1:37" x14ac:dyDescent="0.25">
      <c r="P286" s="20"/>
    </row>
    <row r="287" spans="1:37" x14ac:dyDescent="0.25">
      <c r="P287" s="20"/>
    </row>
    <row r="288" spans="1:37" x14ac:dyDescent="0.25">
      <c r="P288" s="20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25"/>
  <sheetViews>
    <sheetView showGridLines="0" workbookViewId="0">
      <selection activeCell="E20" sqref="E20"/>
    </sheetView>
  </sheetViews>
  <sheetFormatPr defaultRowHeight="15" x14ac:dyDescent="0.25"/>
  <cols>
    <col min="1" max="1" width="17.85546875" customWidth="1"/>
    <col min="2" max="2" width="12.42578125" customWidth="1"/>
    <col min="3" max="3" width="17.28515625" bestFit="1" customWidth="1"/>
    <col min="4" max="4" width="12.140625" bestFit="1" customWidth="1"/>
    <col min="5" max="5" width="14.5703125" bestFit="1" customWidth="1"/>
    <col min="6" max="6" width="12.85546875" customWidth="1"/>
    <col min="7" max="7" width="2.42578125" customWidth="1"/>
    <col min="8" max="9" width="11.7109375" style="43" customWidth="1"/>
    <col min="10" max="10" width="2.5703125" customWidth="1"/>
    <col min="11" max="11" width="15.85546875" bestFit="1" customWidth="1"/>
    <col min="12" max="12" width="13.28515625" customWidth="1"/>
    <col min="13" max="13" width="14.7109375" bestFit="1" customWidth="1"/>
    <col min="14" max="14" width="11.7109375" bestFit="1" customWidth="1"/>
    <col min="15" max="15" width="14.5703125" bestFit="1" customWidth="1"/>
    <col min="16" max="16" width="15.140625" customWidth="1"/>
  </cols>
  <sheetData>
    <row r="2" spans="1:16" ht="16.5" thickBot="1" x14ac:dyDescent="0.3">
      <c r="A2" s="32" t="s">
        <v>68</v>
      </c>
      <c r="B2" s="33"/>
      <c r="C2" s="33"/>
      <c r="D2" s="33"/>
    </row>
    <row r="4" spans="1:16" x14ac:dyDescent="0.25">
      <c r="A4" s="28" t="s">
        <v>22</v>
      </c>
      <c r="B4" s="28" t="s">
        <v>9</v>
      </c>
      <c r="C4" s="28" t="s">
        <v>23</v>
      </c>
      <c r="D4" s="29" t="s">
        <v>58</v>
      </c>
      <c r="E4" s="28" t="s">
        <v>24</v>
      </c>
      <c r="F4" s="28" t="s">
        <v>25</v>
      </c>
      <c r="H4" s="42" t="s">
        <v>9</v>
      </c>
      <c r="I4" s="42" t="s">
        <v>23</v>
      </c>
      <c r="K4" s="1" t="s">
        <v>22</v>
      </c>
      <c r="L4" s="1" t="s">
        <v>9</v>
      </c>
      <c r="M4" s="1" t="s">
        <v>23</v>
      </c>
      <c r="N4" s="2" t="s">
        <v>58</v>
      </c>
      <c r="O4" s="1" t="s">
        <v>24</v>
      </c>
      <c r="P4" s="1" t="s">
        <v>25</v>
      </c>
    </row>
    <row r="5" spans="1:16" x14ac:dyDescent="0.25">
      <c r="A5" t="s">
        <v>26</v>
      </c>
      <c r="B5" t="s">
        <v>60</v>
      </c>
      <c r="C5" t="s">
        <v>29</v>
      </c>
      <c r="D5" t="s">
        <v>81</v>
      </c>
      <c r="E5">
        <v>50000</v>
      </c>
      <c r="F5" s="3">
        <v>44147</v>
      </c>
      <c r="K5" t="s">
        <v>26</v>
      </c>
      <c r="L5" t="s">
        <v>60</v>
      </c>
      <c r="M5" t="s">
        <v>29</v>
      </c>
      <c r="N5" t="s">
        <v>81</v>
      </c>
      <c r="O5">
        <v>50000</v>
      </c>
      <c r="P5" s="3">
        <v>44147</v>
      </c>
    </row>
    <row r="6" spans="1:16" x14ac:dyDescent="0.25">
      <c r="A6" t="s">
        <v>28</v>
      </c>
      <c r="B6" t="s">
        <v>60</v>
      </c>
      <c r="C6" t="s">
        <v>69</v>
      </c>
      <c r="D6" t="s">
        <v>85</v>
      </c>
      <c r="E6">
        <v>100000</v>
      </c>
      <c r="F6" s="3">
        <v>44147</v>
      </c>
      <c r="K6" t="s">
        <v>28</v>
      </c>
      <c r="L6" t="s">
        <v>60</v>
      </c>
      <c r="M6" t="s">
        <v>69</v>
      </c>
      <c r="N6" t="s">
        <v>85</v>
      </c>
      <c r="O6">
        <v>100000</v>
      </c>
      <c r="P6" s="3">
        <v>44147</v>
      </c>
    </row>
    <row r="7" spans="1:16" x14ac:dyDescent="0.25">
      <c r="A7" t="s">
        <v>30</v>
      </c>
      <c r="B7" t="s">
        <v>60</v>
      </c>
      <c r="C7" t="s">
        <v>77</v>
      </c>
      <c r="D7" t="s">
        <v>93</v>
      </c>
      <c r="E7">
        <v>50000</v>
      </c>
      <c r="F7" s="3">
        <v>44147</v>
      </c>
      <c r="H7" s="44" t="s">
        <v>31</v>
      </c>
      <c r="K7" t="s">
        <v>30</v>
      </c>
      <c r="L7" t="s">
        <v>60</v>
      </c>
      <c r="M7" t="s">
        <v>77</v>
      </c>
      <c r="N7" t="s">
        <v>93</v>
      </c>
      <c r="O7">
        <v>50000</v>
      </c>
      <c r="P7" s="3">
        <v>44147</v>
      </c>
    </row>
    <row r="8" spans="1:16" x14ac:dyDescent="0.25">
      <c r="A8" t="s">
        <v>32</v>
      </c>
      <c r="B8" t="s">
        <v>61</v>
      </c>
      <c r="C8" t="s">
        <v>27</v>
      </c>
      <c r="D8" t="s">
        <v>82</v>
      </c>
      <c r="E8">
        <v>55000</v>
      </c>
      <c r="F8" s="3">
        <v>44147</v>
      </c>
      <c r="H8" s="45">
        <v>11</v>
      </c>
      <c r="K8" t="s">
        <v>32</v>
      </c>
      <c r="L8" t="s">
        <v>61</v>
      </c>
      <c r="M8" t="s">
        <v>27</v>
      </c>
      <c r="N8" t="s">
        <v>82</v>
      </c>
      <c r="O8">
        <v>55000</v>
      </c>
      <c r="P8" s="3">
        <v>44147</v>
      </c>
    </row>
    <row r="9" spans="1:16" x14ac:dyDescent="0.25">
      <c r="A9" t="s">
        <v>33</v>
      </c>
      <c r="B9" t="s">
        <v>61</v>
      </c>
      <c r="C9" t="s">
        <v>57</v>
      </c>
      <c r="D9" t="s">
        <v>83</v>
      </c>
      <c r="E9">
        <v>55000</v>
      </c>
      <c r="F9" s="3">
        <v>44147</v>
      </c>
      <c r="K9" t="s">
        <v>33</v>
      </c>
      <c r="L9" t="s">
        <v>61</v>
      </c>
      <c r="M9" t="s">
        <v>57</v>
      </c>
      <c r="N9" t="s">
        <v>83</v>
      </c>
      <c r="O9">
        <v>55000</v>
      </c>
      <c r="P9" s="3">
        <v>44147</v>
      </c>
    </row>
    <row r="10" spans="1:16" x14ac:dyDescent="0.25">
      <c r="A10" t="s">
        <v>34</v>
      </c>
      <c r="B10" t="s">
        <v>61</v>
      </c>
      <c r="C10" t="s">
        <v>75</v>
      </c>
      <c r="D10" t="s">
        <v>91</v>
      </c>
      <c r="E10">
        <v>55000</v>
      </c>
      <c r="F10" s="3">
        <v>44147</v>
      </c>
      <c r="K10" t="s">
        <v>34</v>
      </c>
      <c r="L10" t="s">
        <v>61</v>
      </c>
      <c r="M10" t="s">
        <v>75</v>
      </c>
      <c r="N10" t="s">
        <v>91</v>
      </c>
      <c r="O10">
        <v>55000</v>
      </c>
      <c r="P10" s="3">
        <v>44147</v>
      </c>
    </row>
    <row r="11" spans="1:16" x14ac:dyDescent="0.25">
      <c r="A11" t="s">
        <v>156</v>
      </c>
      <c r="B11" t="s">
        <v>62</v>
      </c>
      <c r="C11" t="s">
        <v>72</v>
      </c>
      <c r="D11" t="s">
        <v>88</v>
      </c>
      <c r="E11">
        <v>120000</v>
      </c>
      <c r="F11" s="3">
        <v>44147</v>
      </c>
      <c r="K11" t="s">
        <v>156</v>
      </c>
      <c r="L11" t="s">
        <v>62</v>
      </c>
      <c r="M11" t="s">
        <v>72</v>
      </c>
      <c r="N11" t="s">
        <v>88</v>
      </c>
      <c r="O11">
        <v>120000</v>
      </c>
      <c r="P11" s="3">
        <v>44147</v>
      </c>
    </row>
    <row r="12" spans="1:16" x14ac:dyDescent="0.25">
      <c r="A12" t="s">
        <v>168</v>
      </c>
      <c r="B12" t="s">
        <v>60</v>
      </c>
      <c r="C12" t="s">
        <v>69</v>
      </c>
      <c r="D12" t="s">
        <v>85</v>
      </c>
      <c r="E12">
        <v>50000</v>
      </c>
      <c r="F12" s="3">
        <v>44148</v>
      </c>
      <c r="K12" t="s">
        <v>168</v>
      </c>
      <c r="L12" t="s">
        <v>60</v>
      </c>
      <c r="M12" t="s">
        <v>69</v>
      </c>
      <c r="N12" t="s">
        <v>85</v>
      </c>
      <c r="O12">
        <v>50000</v>
      </c>
      <c r="P12" s="3">
        <v>44148</v>
      </c>
    </row>
    <row r="13" spans="1:16" x14ac:dyDescent="0.25">
      <c r="A13" t="s">
        <v>169</v>
      </c>
      <c r="B13" t="s">
        <v>61</v>
      </c>
      <c r="C13" t="s">
        <v>74</v>
      </c>
      <c r="D13" t="s">
        <v>90</v>
      </c>
      <c r="E13">
        <v>165000</v>
      </c>
      <c r="F13" s="3">
        <v>44148</v>
      </c>
      <c r="K13" t="s">
        <v>169</v>
      </c>
      <c r="L13" t="s">
        <v>61</v>
      </c>
      <c r="M13" t="s">
        <v>74</v>
      </c>
      <c r="N13" t="s">
        <v>90</v>
      </c>
      <c r="O13">
        <v>165000</v>
      </c>
      <c r="P13" s="3">
        <v>44148</v>
      </c>
    </row>
    <row r="14" spans="1:16" x14ac:dyDescent="0.25">
      <c r="A14" t="s">
        <v>170</v>
      </c>
      <c r="B14" t="s">
        <v>61</v>
      </c>
      <c r="C14" t="s">
        <v>70</v>
      </c>
      <c r="D14" t="s">
        <v>86</v>
      </c>
      <c r="E14">
        <v>55000</v>
      </c>
      <c r="F14" s="3">
        <v>44148</v>
      </c>
      <c r="K14" t="s">
        <v>170</v>
      </c>
      <c r="L14" t="s">
        <v>61</v>
      </c>
      <c r="M14" t="s">
        <v>70</v>
      </c>
      <c r="N14" t="s">
        <v>86</v>
      </c>
      <c r="O14">
        <v>55000</v>
      </c>
      <c r="P14" s="3">
        <v>44148</v>
      </c>
    </row>
    <row r="15" spans="1:16" x14ac:dyDescent="0.25">
      <c r="A15" t="s">
        <v>177</v>
      </c>
      <c r="B15" t="s">
        <v>61</v>
      </c>
      <c r="C15" t="s">
        <v>57</v>
      </c>
      <c r="D15" t="s">
        <v>83</v>
      </c>
      <c r="E15">
        <v>110000</v>
      </c>
      <c r="F15" s="3">
        <v>44366</v>
      </c>
      <c r="K15" t="s">
        <v>177</v>
      </c>
      <c r="L15" t="s">
        <v>61</v>
      </c>
      <c r="M15" t="s">
        <v>57</v>
      </c>
      <c r="N15" t="s">
        <v>83</v>
      </c>
      <c r="O15">
        <v>110000</v>
      </c>
      <c r="P15" s="3">
        <v>44366</v>
      </c>
    </row>
    <row r="16" spans="1:16" x14ac:dyDescent="0.25">
      <c r="F16" s="3"/>
    </row>
    <row r="17" spans="6:6" x14ac:dyDescent="0.25">
      <c r="F17" s="3"/>
    </row>
    <row r="22" spans="6:6" x14ac:dyDescent="0.25">
      <c r="F22" s="3"/>
    </row>
    <row r="23" spans="6:6" x14ac:dyDescent="0.25">
      <c r="F23" s="3"/>
    </row>
    <row r="24" spans="6:6" x14ac:dyDescent="0.25">
      <c r="F24" s="3"/>
    </row>
    <row r="25" spans="6:6" x14ac:dyDescent="0.25">
      <c r="F25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R22"/>
  <sheetViews>
    <sheetView showGridLines="0" workbookViewId="0">
      <selection activeCell="Q24" sqref="Q24"/>
    </sheetView>
  </sheetViews>
  <sheetFormatPr defaultRowHeight="15" x14ac:dyDescent="0.25"/>
  <cols>
    <col min="1" max="1" width="2.7109375" customWidth="1"/>
    <col min="2" max="2" width="4.140625" customWidth="1"/>
    <col min="3" max="3" width="13.140625" customWidth="1"/>
    <col min="4" max="4" width="10.42578125" customWidth="1"/>
    <col min="5" max="5" width="7.42578125" customWidth="1"/>
    <col min="11" max="11" width="9.85546875" bestFit="1" customWidth="1"/>
    <col min="13" max="13" width="9.85546875" customWidth="1"/>
    <col min="14" max="14" width="5.42578125" customWidth="1"/>
    <col min="16" max="16" width="10.85546875" bestFit="1" customWidth="1"/>
    <col min="18" max="18" width="11.28515625" customWidth="1"/>
  </cols>
  <sheetData>
    <row r="1" spans="2:18" ht="41.25" customHeight="1" thickBot="1" x14ac:dyDescent="0.3"/>
    <row r="2" spans="2:18" ht="15.75" thickBo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6"/>
      <c r="P2" s="47" t="s">
        <v>158</v>
      </c>
      <c r="Q2" s="49" t="s">
        <v>159</v>
      </c>
      <c r="R2" s="47" t="s">
        <v>160</v>
      </c>
    </row>
    <row r="3" spans="2:18" ht="18.75" x14ac:dyDescent="0.3">
      <c r="B3" s="7"/>
      <c r="C3" s="67" t="s">
        <v>35</v>
      </c>
      <c r="D3" s="68"/>
      <c r="E3" s="68"/>
      <c r="F3" s="68"/>
      <c r="G3" s="68"/>
      <c r="H3" s="68"/>
      <c r="I3" s="68"/>
      <c r="J3" s="68"/>
      <c r="K3" s="68"/>
      <c r="L3" s="68"/>
      <c r="M3" s="69"/>
      <c r="N3" s="8"/>
      <c r="P3" s="46" t="s">
        <v>10</v>
      </c>
      <c r="Q3" s="48"/>
      <c r="R3" s="46" t="str">
        <f>IF(Q3=TRUE,P3,"")</f>
        <v/>
      </c>
    </row>
    <row r="4" spans="2:18" x14ac:dyDescent="0.25">
      <c r="B4" s="7"/>
      <c r="C4" s="70" t="s">
        <v>36</v>
      </c>
      <c r="D4" s="71"/>
      <c r="E4" s="71"/>
      <c r="F4" s="71"/>
      <c r="G4" s="71"/>
      <c r="H4" s="71"/>
      <c r="I4" s="71"/>
      <c r="J4" s="71"/>
      <c r="K4" s="71"/>
      <c r="L4" s="71"/>
      <c r="M4" s="72"/>
      <c r="N4" s="9"/>
      <c r="P4" s="46" t="s">
        <v>11</v>
      </c>
      <c r="Q4" s="48"/>
      <c r="R4" s="46" t="str">
        <f t="shared" ref="R4:R14" si="0">IF(Q4=TRUE,P4,"")</f>
        <v/>
      </c>
    </row>
    <row r="5" spans="2:18" ht="15.75" thickBot="1" x14ac:dyDescent="0.3">
      <c r="B5" s="7"/>
      <c r="C5" s="73" t="s">
        <v>37</v>
      </c>
      <c r="D5" s="74"/>
      <c r="E5" s="74"/>
      <c r="F5" s="74"/>
      <c r="G5" s="74"/>
      <c r="H5" s="74"/>
      <c r="I5" s="74"/>
      <c r="J5" s="74"/>
      <c r="K5" s="74"/>
      <c r="L5" s="74"/>
      <c r="M5" s="75"/>
      <c r="N5" s="9"/>
      <c r="P5" s="46" t="s">
        <v>12</v>
      </c>
      <c r="Q5" s="48"/>
      <c r="R5" s="46" t="str">
        <f t="shared" si="0"/>
        <v/>
      </c>
    </row>
    <row r="6" spans="2:18" x14ac:dyDescent="0.25">
      <c r="B6" s="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1"/>
      <c r="P6" s="46" t="s">
        <v>13</v>
      </c>
      <c r="Q6" s="48"/>
      <c r="R6" s="46" t="str">
        <f t="shared" si="0"/>
        <v/>
      </c>
    </row>
    <row r="7" spans="2:18" ht="16.5" x14ac:dyDescent="0.3">
      <c r="B7" s="7"/>
      <c r="C7" s="12" t="s">
        <v>38</v>
      </c>
      <c r="D7" s="76"/>
      <c r="E7" s="76"/>
      <c r="F7" s="54" t="s">
        <v>39</v>
      </c>
      <c r="G7" s="54"/>
      <c r="H7" s="77">
        <f ca="1">TODAY()</f>
        <v>44366</v>
      </c>
      <c r="I7" s="77"/>
      <c r="J7" s="54" t="s">
        <v>40</v>
      </c>
      <c r="K7" s="54"/>
      <c r="L7" s="76"/>
      <c r="M7" s="76"/>
      <c r="N7" s="11"/>
      <c r="P7" s="46" t="s">
        <v>14</v>
      </c>
      <c r="Q7" s="48"/>
      <c r="R7" s="46" t="str">
        <f t="shared" si="0"/>
        <v/>
      </c>
    </row>
    <row r="8" spans="2:18" ht="16.5" x14ac:dyDescent="0.3">
      <c r="B8" s="7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1"/>
      <c r="P8" s="46" t="s">
        <v>15</v>
      </c>
      <c r="Q8" s="48"/>
      <c r="R8" s="46" t="str">
        <f t="shared" si="0"/>
        <v/>
      </c>
    </row>
    <row r="9" spans="2:18" ht="16.5" x14ac:dyDescent="0.3">
      <c r="B9" s="7"/>
      <c r="C9" s="14" t="s">
        <v>1</v>
      </c>
      <c r="D9" s="53"/>
      <c r="E9" s="53"/>
      <c r="F9" s="53"/>
      <c r="G9" s="53"/>
      <c r="H9" s="13"/>
      <c r="I9" s="54" t="s">
        <v>41</v>
      </c>
      <c r="J9" s="54"/>
      <c r="K9" s="55"/>
      <c r="L9" s="55"/>
      <c r="M9" s="55"/>
      <c r="N9" s="11"/>
      <c r="P9" s="46" t="s">
        <v>16</v>
      </c>
      <c r="Q9" s="48"/>
      <c r="R9" s="46" t="str">
        <f t="shared" si="0"/>
        <v/>
      </c>
    </row>
    <row r="10" spans="2:18" ht="16.5" x14ac:dyDescent="0.3">
      <c r="B10" s="7"/>
      <c r="C10" s="14" t="s">
        <v>3</v>
      </c>
      <c r="D10" s="56"/>
      <c r="E10" s="56"/>
      <c r="F10" s="56"/>
      <c r="G10" s="56"/>
      <c r="H10" s="13"/>
      <c r="I10" s="54" t="s">
        <v>42</v>
      </c>
      <c r="J10" s="54"/>
      <c r="K10" s="57"/>
      <c r="L10" s="57"/>
      <c r="M10" s="57"/>
      <c r="N10" s="11"/>
      <c r="P10" s="46" t="s">
        <v>17</v>
      </c>
      <c r="Q10" s="48"/>
      <c r="R10" s="46" t="str">
        <f t="shared" si="0"/>
        <v/>
      </c>
    </row>
    <row r="11" spans="2:18" ht="16.5" x14ac:dyDescent="0.3">
      <c r="B11" s="7"/>
      <c r="C11" s="14" t="s">
        <v>43</v>
      </c>
      <c r="D11" s="56"/>
      <c r="E11" s="56"/>
      <c r="F11" s="56"/>
      <c r="G11" s="56"/>
      <c r="H11" s="13"/>
      <c r="I11" s="54"/>
      <c r="J11" s="54"/>
      <c r="K11" s="13"/>
      <c r="L11" s="13"/>
      <c r="M11" s="13"/>
      <c r="N11" s="11"/>
      <c r="P11" s="46" t="s">
        <v>18</v>
      </c>
      <c r="Q11" s="48"/>
      <c r="R11" s="46" t="str">
        <f t="shared" si="0"/>
        <v/>
      </c>
    </row>
    <row r="12" spans="2:18" ht="16.5" x14ac:dyDescent="0.3">
      <c r="B12" s="7"/>
      <c r="C12" s="14" t="s">
        <v>44</v>
      </c>
      <c r="D12" s="58"/>
      <c r="E12" s="58"/>
      <c r="F12" s="58"/>
      <c r="G12" s="58"/>
      <c r="H12" s="13"/>
      <c r="I12" s="10"/>
      <c r="J12" s="10"/>
      <c r="K12" s="59"/>
      <c r="L12" s="59"/>
      <c r="M12" s="59"/>
      <c r="N12" s="11"/>
      <c r="P12" s="46" t="s">
        <v>19</v>
      </c>
      <c r="Q12" s="48"/>
      <c r="R12" s="46" t="str">
        <f t="shared" si="0"/>
        <v/>
      </c>
    </row>
    <row r="13" spans="2:18" ht="16.5" x14ac:dyDescent="0.3">
      <c r="B13" s="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1"/>
      <c r="P13" s="46" t="s">
        <v>20</v>
      </c>
      <c r="Q13" s="48"/>
      <c r="R13" s="46" t="str">
        <f t="shared" si="0"/>
        <v/>
      </c>
    </row>
    <row r="14" spans="2:18" ht="16.5" x14ac:dyDescent="0.3">
      <c r="B14" s="7"/>
      <c r="C14" s="51" t="s">
        <v>157</v>
      </c>
      <c r="D14" s="15"/>
      <c r="E14" s="13"/>
      <c r="F14" s="13"/>
      <c r="G14" s="13"/>
      <c r="H14" s="13"/>
      <c r="I14" s="13"/>
      <c r="J14" s="13"/>
      <c r="K14" s="13"/>
      <c r="L14" s="13"/>
      <c r="M14" s="13"/>
      <c r="N14" s="11"/>
      <c r="P14" s="46" t="s">
        <v>21</v>
      </c>
      <c r="Q14" s="48"/>
      <c r="R14" s="46" t="str">
        <f t="shared" si="0"/>
        <v/>
      </c>
    </row>
    <row r="15" spans="2:18" ht="16.5" customHeight="1" x14ac:dyDescent="0.25">
      <c r="B15" s="7"/>
      <c r="C15" s="61" t="str">
        <f>R3&amp;" "&amp;R4&amp;" "&amp;R5&amp;" "&amp;R6&amp;" "&amp;R7&amp;" "&amp;R8&amp;" "&amp;R9&amp;" "&amp;R10&amp;" "&amp;R11&amp;" "&amp;R12&amp;" "&amp;R13&amp;" "&amp;R14</f>
        <v xml:space="preserve">           </v>
      </c>
      <c r="D15" s="62"/>
      <c r="E15" s="62"/>
      <c r="F15" s="62"/>
      <c r="G15" s="62"/>
      <c r="H15" s="62"/>
      <c r="I15" s="62"/>
      <c r="J15" s="62"/>
      <c r="K15" s="62"/>
      <c r="L15" s="62"/>
      <c r="M15" s="63"/>
      <c r="N15" s="11"/>
    </row>
    <row r="16" spans="2:18" ht="16.5" customHeight="1" x14ac:dyDescent="0.25">
      <c r="B16" s="7"/>
      <c r="C16" s="64"/>
      <c r="D16" s="65"/>
      <c r="E16" s="65"/>
      <c r="F16" s="65"/>
      <c r="G16" s="65"/>
      <c r="H16" s="65"/>
      <c r="I16" s="65"/>
      <c r="J16" s="65"/>
      <c r="K16" s="65"/>
      <c r="L16" s="65"/>
      <c r="M16" s="66"/>
      <c r="N16" s="11"/>
    </row>
    <row r="17" spans="2:14" ht="16.5" x14ac:dyDescent="0.3">
      <c r="B17" s="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1"/>
    </row>
    <row r="18" spans="2:14" ht="16.5" x14ac:dyDescent="0.3">
      <c r="B18" s="7"/>
      <c r="C18" s="13"/>
      <c r="D18" s="13"/>
      <c r="E18" s="13"/>
      <c r="F18" s="13"/>
      <c r="G18" s="13"/>
      <c r="H18" s="13"/>
      <c r="I18" s="13"/>
      <c r="J18" s="13"/>
      <c r="K18" s="60">
        <f ca="1">TODAY()</f>
        <v>44366</v>
      </c>
      <c r="L18" s="60"/>
      <c r="M18" s="60"/>
      <c r="N18" s="11"/>
    </row>
    <row r="19" spans="2:14" ht="16.5" x14ac:dyDescent="0.3">
      <c r="B19" s="7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1"/>
    </row>
    <row r="20" spans="2:14" ht="16.5" x14ac:dyDescent="0.3">
      <c r="B20" s="7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1"/>
    </row>
    <row r="21" spans="2:14" ht="16.5" x14ac:dyDescent="0.3">
      <c r="B21" s="7"/>
      <c r="C21" s="13"/>
      <c r="D21" s="13"/>
      <c r="E21" s="13"/>
      <c r="F21" s="13"/>
      <c r="G21" s="13"/>
      <c r="H21" s="13"/>
      <c r="I21" s="13"/>
      <c r="J21" s="13"/>
      <c r="K21" s="52" t="s">
        <v>45</v>
      </c>
      <c r="L21" s="52"/>
      <c r="M21" s="52"/>
      <c r="N21" s="11"/>
    </row>
    <row r="22" spans="2:14" ht="15.75" thickBot="1" x14ac:dyDescent="0.3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8"/>
    </row>
  </sheetData>
  <mergeCells count="21">
    <mergeCell ref="C3:M3"/>
    <mergeCell ref="C4:M4"/>
    <mergeCell ref="C5:M5"/>
    <mergeCell ref="D7:E7"/>
    <mergeCell ref="F7:G7"/>
    <mergeCell ref="H7:I7"/>
    <mergeCell ref="J7:K7"/>
    <mergeCell ref="L7:M7"/>
    <mergeCell ref="K21:M21"/>
    <mergeCell ref="D9:G9"/>
    <mergeCell ref="I9:J9"/>
    <mergeCell ref="K9:M9"/>
    <mergeCell ref="D10:G10"/>
    <mergeCell ref="I10:J10"/>
    <mergeCell ref="K10:M10"/>
    <mergeCell ref="D11:G11"/>
    <mergeCell ref="I11:J11"/>
    <mergeCell ref="D12:G12"/>
    <mergeCell ref="K12:M12"/>
    <mergeCell ref="K18:M18"/>
    <mergeCell ref="C15:M16"/>
  </mergeCell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DATABAYAR</vt:lpstr>
      <vt:lpstr>PEMBAYARAN</vt:lpstr>
      <vt:lpstr>KWITANSI</vt:lpstr>
      <vt:lpstr>DATABAYAR!Criteria</vt:lpstr>
      <vt:lpstr>PEMBAYARAN!Criteria</vt:lpstr>
      <vt:lpstr>DATABAYAR!Extract</vt:lpstr>
      <vt:lpstr>PEMBAYARAN!Extract</vt:lpstr>
      <vt:lpstr>KWITANSI!Print_Area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2020-11-13T12:42:49Z</cp:lastPrinted>
  <dcterms:created xsi:type="dcterms:W3CDTF">2020-05-16T10:43:30Z</dcterms:created>
  <dcterms:modified xsi:type="dcterms:W3CDTF">2021-06-19T11:56:45Z</dcterms:modified>
</cp:coreProperties>
</file>